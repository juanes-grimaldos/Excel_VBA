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onicaminoltanam-my.sharepoint.com/personal/jgrimaldos_allcovered_com/Documents/projects/projecto farma/"/>
    </mc:Choice>
  </mc:AlternateContent>
  <xr:revisionPtr revIDLastSave="8290" documentId="8_{B28CA241-07BC-4ACB-8F67-E8B1213A93E1}" xr6:coauthVersionLast="47" xr6:coauthVersionMax="47" xr10:uidLastSave="{70522472-730E-4B9A-BD16-0D598A387BBA}"/>
  <bookViews>
    <workbookView xWindow="-110" yWindow="-110" windowWidth="19420" windowHeight="10300" xr2:uid="{9820F778-B76A-4B54-AAE1-3D93CE64A544}"/>
  </bookViews>
  <sheets>
    <sheet name="Informe" sheetId="1" r:id="rId1"/>
    <sheet name="Ajustes" sheetId="10" r:id="rId2"/>
    <sheet name="tiendas" sheetId="8" r:id="rId3"/>
    <sheet name="meses" sheetId="9" state="hidden" r:id="rId4"/>
    <sheet name="COMPARATIVO VS 2024" sheetId="5" r:id="rId5"/>
    <sheet name="TRAFICO" sheetId="4" r:id="rId6"/>
  </sheets>
  <functionGroups builtInGroupCount="19"/>
  <externalReferences>
    <externalReference r:id="rId7"/>
    <externalReference r:id="rId8"/>
    <externalReference r:id="rId9"/>
  </externalReferences>
  <definedNames>
    <definedName name="_xlnm._FilterDatabase" localSheetId="0" hidden="1">Informe!$B$3:$M$35</definedName>
    <definedName name="Esperado">'[1]KPI Comercial'!$D$8</definedName>
    <definedName name="PPTO20">'[2]PPTO 2020 (ZONAS)'!$D$6:$R$77</definedName>
    <definedName name="VTA.19">'[3]VTA 2019'!$B$2:$P$68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/>
  <c r="I3" i="1"/>
  <c r="E2" i="1"/>
  <c r="H3" i="1"/>
  <c r="AJ4" i="1" l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S25" i="1" l="1"/>
  <c r="AS24" i="1"/>
  <c r="AS23" i="1"/>
  <c r="AS22" i="1"/>
  <c r="AS21" i="1"/>
  <c r="AS20" i="1"/>
  <c r="AS19" i="1"/>
  <c r="AS18" i="1"/>
  <c r="AS17" i="1"/>
  <c r="AS16" i="1"/>
  <c r="AS15" i="1"/>
  <c r="AS14" i="1"/>
  <c r="AS13" i="1"/>
  <c r="AS12" i="1"/>
  <c r="AS11" i="1"/>
  <c r="AS10" i="1"/>
  <c r="AS9" i="1"/>
  <c r="AS8" i="1"/>
  <c r="AS7" i="1"/>
  <c r="AS6" i="1"/>
  <c r="AS5" i="1"/>
  <c r="AS4" i="1"/>
  <c r="C2" i="9" l="1"/>
  <c r="C3" i="9"/>
  <c r="C4" i="9"/>
  <c r="C5" i="9"/>
  <c r="C6" i="9"/>
  <c r="C7" i="9"/>
  <c r="C8" i="9"/>
  <c r="C9" i="9"/>
  <c r="C10" i="9"/>
  <c r="C11" i="9"/>
  <c r="C12" i="9"/>
  <c r="C1" i="9"/>
  <c r="AA3" i="1"/>
  <c r="W3" i="1"/>
  <c r="V3" i="1"/>
  <c r="K3" i="1"/>
  <c r="J3" i="1"/>
  <c r="AR3" i="1"/>
  <c r="AO3" i="1"/>
  <c r="AN3" i="1"/>
  <c r="AM3" i="1"/>
  <c r="AL3" i="1"/>
  <c r="AK3" i="1"/>
  <c r="AF3" i="1"/>
  <c r="AC3" i="1"/>
  <c r="M3" i="1"/>
  <c r="D3" i="1"/>
  <c r="G3" i="1"/>
  <c r="B3" i="10"/>
  <c r="AE3" i="1" s="1"/>
  <c r="AE2" i="1" l="1"/>
  <c r="U3" i="1"/>
  <c r="Z3" i="1"/>
  <c r="AI3" i="1"/>
  <c r="AB2" i="1"/>
  <c r="AH2" i="1"/>
  <c r="F3" i="1"/>
  <c r="AB3" i="1"/>
  <c r="AJ3" i="1"/>
  <c r="AH3" i="1"/>
  <c r="E3" i="1"/>
  <c r="P3" i="1"/>
  <c r="AD3" i="1"/>
  <c r="AQ3" i="1"/>
  <c r="R2" i="1"/>
  <c r="T3" i="1"/>
  <c r="AQ2" i="1"/>
  <c r="Y3" i="1"/>
  <c r="AG3" i="1"/>
  <c r="H53" i="5"/>
  <c r="G26" i="1" l="1"/>
  <c r="G53" i="5"/>
  <c r="D53" i="5"/>
  <c r="C53" i="5"/>
  <c r="AV30" i="1"/>
  <c r="K26" i="1" l="1"/>
  <c r="I54" i="4" l="1"/>
  <c r="E26" i="1" l="1"/>
  <c r="F26" i="1"/>
  <c r="C67" i="4" l="1"/>
  <c r="AR26" i="1" l="1"/>
  <c r="V26" i="1"/>
  <c r="H25" i="1" l="1"/>
  <c r="H10" i="1"/>
  <c r="H11" i="1"/>
  <c r="H24" i="1"/>
  <c r="H23" i="1"/>
  <c r="H13" i="1"/>
  <c r="H18" i="1"/>
  <c r="H17" i="1"/>
  <c r="H22" i="1"/>
  <c r="H21" i="1"/>
  <c r="H15" i="1"/>
  <c r="H12" i="1"/>
  <c r="H14" i="1"/>
  <c r="H6" i="1"/>
  <c r="H8" i="1"/>
  <c r="AC24" i="1" l="1"/>
  <c r="Z26" i="1" l="1"/>
  <c r="AA26" i="1"/>
  <c r="X32" i="1"/>
  <c r="Y32" i="1"/>
  <c r="Z32" i="1"/>
  <c r="AA32" i="1"/>
  <c r="Z33" i="1"/>
  <c r="AA33" i="1"/>
  <c r="Z34" i="1"/>
  <c r="AA34" i="1"/>
  <c r="D51" i="5"/>
  <c r="AL26" i="1" l="1"/>
  <c r="U9" i="1" l="1"/>
  <c r="K27" i="1" l="1"/>
  <c r="W26" i="1"/>
  <c r="AK8" i="1" l="1"/>
  <c r="T26" i="1" l="1"/>
  <c r="S21" i="1" l="1"/>
  <c r="X21" i="1" s="1"/>
  <c r="S4" i="1"/>
  <c r="X4" i="1" s="1"/>
  <c r="V33" i="1" l="1"/>
  <c r="K33" i="1"/>
  <c r="J33" i="1"/>
  <c r="I33" i="1"/>
  <c r="G33" i="1"/>
  <c r="F33" i="1"/>
  <c r="E33" i="1"/>
  <c r="D33" i="1"/>
  <c r="R26" i="1" l="1"/>
  <c r="AR33" i="1"/>
  <c r="AQ33" i="1"/>
  <c r="AM33" i="1"/>
  <c r="AL33" i="1"/>
  <c r="AI33" i="1"/>
  <c r="AH33" i="1"/>
  <c r="T33" i="1"/>
  <c r="R33" i="1"/>
  <c r="L33" i="1"/>
  <c r="E34" i="1"/>
  <c r="F34" i="1"/>
  <c r="G34" i="1"/>
  <c r="D34" i="1"/>
  <c r="AR34" i="1"/>
  <c r="AQ34" i="1"/>
  <c r="AM34" i="1"/>
  <c r="AL34" i="1"/>
  <c r="AI34" i="1"/>
  <c r="AH34" i="1"/>
  <c r="V34" i="1"/>
  <c r="T34" i="1"/>
  <c r="R34" i="1"/>
  <c r="L34" i="1"/>
  <c r="K34" i="1"/>
  <c r="J34" i="1"/>
  <c r="I34" i="1"/>
  <c r="J26" i="1" l="1"/>
  <c r="Q26" i="1"/>
  <c r="T43" i="5" l="1"/>
  <c r="AB4" i="1" l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B25" i="1"/>
  <c r="AC25" i="1"/>
  <c r="H19" i="1" l="1"/>
  <c r="J54" i="4" l="1"/>
  <c r="AN33" i="1" l="1"/>
  <c r="AQ26" i="1" l="1"/>
  <c r="P34" i="1" l="1"/>
  <c r="AM26" i="1"/>
  <c r="U49" i="5" l="1"/>
  <c r="AK6" i="1" l="1"/>
  <c r="AK5" i="1"/>
  <c r="AK7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4" i="1"/>
  <c r="AK34" i="1" l="1"/>
  <c r="AK33" i="1"/>
  <c r="D26" i="1"/>
  <c r="O34" i="1" l="1"/>
  <c r="AS34" i="1"/>
  <c r="AJ34" i="1"/>
  <c r="AC34" i="1"/>
  <c r="AB34" i="1"/>
  <c r="Q34" i="1"/>
  <c r="AO34" i="1"/>
  <c r="AE34" i="1"/>
  <c r="U34" i="1"/>
  <c r="AF34" i="1"/>
  <c r="W34" i="1"/>
  <c r="AN34" i="1"/>
  <c r="AB33" i="1"/>
  <c r="Q33" i="1"/>
  <c r="AO33" i="1"/>
  <c r="AE33" i="1"/>
  <c r="U33" i="1"/>
  <c r="W33" i="1"/>
  <c r="AS33" i="1"/>
  <c r="AC33" i="1"/>
  <c r="O33" i="1"/>
  <c r="AJ33" i="1"/>
  <c r="P33" i="1"/>
  <c r="AF33" i="1"/>
  <c r="Y33" i="1" l="1"/>
  <c r="Y34" i="1"/>
  <c r="AG34" i="1"/>
  <c r="AD34" i="1"/>
  <c r="AG33" i="1"/>
  <c r="AD33" i="1"/>
  <c r="U26" i="1" l="1"/>
  <c r="Y26" i="1" s="1"/>
  <c r="O17" i="1" l="1"/>
  <c r="P17" i="1"/>
  <c r="Q17" i="1"/>
  <c r="O18" i="1"/>
  <c r="P18" i="1"/>
  <c r="Q18" i="1"/>
  <c r="I26" i="1" l="1"/>
  <c r="AH26" i="1" l="1"/>
  <c r="AK26" i="1" s="1"/>
  <c r="AI26" i="1"/>
  <c r="AJ26" i="1" s="1"/>
  <c r="J59" i="4" l="1"/>
  <c r="AO26" i="1" l="1"/>
  <c r="S49" i="5" l="1"/>
  <c r="W15" i="1" l="1"/>
  <c r="T30" i="5" l="1"/>
  <c r="U4" i="1" l="1"/>
  <c r="V49" i="5"/>
  <c r="O11" i="1" l="1"/>
  <c r="AF25" i="1" l="1"/>
  <c r="P14" i="1" l="1"/>
  <c r="M12" i="1" l="1"/>
  <c r="O12" i="1"/>
  <c r="P12" i="1"/>
  <c r="Q12" i="1"/>
  <c r="S12" i="1"/>
  <c r="X12" i="1" s="1"/>
  <c r="U12" i="1"/>
  <c r="W12" i="1"/>
  <c r="AE12" i="1"/>
  <c r="AT12" i="1" s="1"/>
  <c r="AU12" i="1" s="1"/>
  <c r="AF12" i="1"/>
  <c r="AP12" i="1"/>
  <c r="AN12" i="1"/>
  <c r="AO12" i="1"/>
  <c r="M13" i="1"/>
  <c r="O13" i="1"/>
  <c r="P13" i="1"/>
  <c r="Q13" i="1"/>
  <c r="S13" i="1"/>
  <c r="X13" i="1" s="1"/>
  <c r="U13" i="1"/>
  <c r="W13" i="1"/>
  <c r="AE13" i="1"/>
  <c r="AT13" i="1" s="1"/>
  <c r="AU13" i="1" s="1"/>
  <c r="AF13" i="1"/>
  <c r="AP13" i="1"/>
  <c r="AN13" i="1"/>
  <c r="AO13" i="1"/>
  <c r="M14" i="1"/>
  <c r="O14" i="1"/>
  <c r="Q14" i="1"/>
  <c r="S14" i="1"/>
  <c r="X14" i="1" s="1"/>
  <c r="U14" i="1"/>
  <c r="W14" i="1"/>
  <c r="AE14" i="1"/>
  <c r="AT14" i="1" s="1"/>
  <c r="AU14" i="1" s="1"/>
  <c r="AF14" i="1"/>
  <c r="AP14" i="1"/>
  <c r="AN14" i="1"/>
  <c r="AO14" i="1"/>
  <c r="Y14" i="1" l="1"/>
  <c r="Y13" i="1"/>
  <c r="Y12" i="1"/>
  <c r="AG14" i="1"/>
  <c r="AW13" i="1"/>
  <c r="N13" i="1"/>
  <c r="AW14" i="1"/>
  <c r="N14" i="1"/>
  <c r="AW12" i="1"/>
  <c r="N12" i="1"/>
  <c r="AG12" i="1"/>
  <c r="AD13" i="1"/>
  <c r="AD12" i="1"/>
  <c r="AG13" i="1"/>
  <c r="AD14" i="1"/>
  <c r="AV13" i="1"/>
  <c r="AV12" i="1"/>
  <c r="AV14" i="1" l="1"/>
  <c r="AX14" i="1" s="1"/>
  <c r="AX13" i="1"/>
  <c r="AX12" i="1"/>
  <c r="O23" i="1" l="1"/>
  <c r="T41" i="5" l="1"/>
  <c r="R49" i="5"/>
  <c r="T31" i="5"/>
  <c r="T32" i="5"/>
  <c r="T33" i="5"/>
  <c r="T34" i="5"/>
  <c r="T35" i="5"/>
  <c r="T36" i="5"/>
  <c r="T37" i="5"/>
  <c r="T38" i="5"/>
  <c r="T39" i="5"/>
  <c r="E39" i="5" s="1"/>
  <c r="T40" i="5"/>
  <c r="E40" i="5" s="1"/>
  <c r="T42" i="5"/>
  <c r="T44" i="5"/>
  <c r="T45" i="5"/>
  <c r="T46" i="5"/>
  <c r="T47" i="5"/>
  <c r="T48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30" i="5"/>
  <c r="J38" i="5" l="1"/>
  <c r="W49" i="5"/>
  <c r="T49" i="5"/>
  <c r="A49" i="5"/>
  <c r="I41" i="5" l="1"/>
  <c r="G49" i="5"/>
  <c r="K41" i="5" s="1"/>
  <c r="U23" i="1"/>
  <c r="O15" i="1" l="1"/>
  <c r="O21" i="1" l="1"/>
  <c r="O10" i="1" l="1"/>
  <c r="O4" i="1"/>
  <c r="O19" i="1"/>
  <c r="O5" i="1" l="1"/>
  <c r="AF8" i="1" l="1"/>
  <c r="O24" i="1"/>
  <c r="W22" i="1" l="1"/>
  <c r="E46" i="4" l="1"/>
  <c r="H46" i="4"/>
  <c r="K46" i="4"/>
  <c r="L46" i="4" l="1"/>
  <c r="D54" i="4"/>
  <c r="C54" i="4"/>
  <c r="G60" i="4"/>
  <c r="G61" i="4"/>
  <c r="G62" i="4"/>
  <c r="G63" i="4"/>
  <c r="G64" i="4"/>
  <c r="G65" i="4"/>
  <c r="G66" i="4"/>
  <c r="G59" i="4"/>
  <c r="D59" i="4"/>
  <c r="G67" i="4" l="1"/>
  <c r="E53" i="5"/>
  <c r="F53" i="5" l="1"/>
  <c r="C51" i="5"/>
  <c r="M15" i="1" l="1"/>
  <c r="N15" i="1" s="1"/>
  <c r="H51" i="5"/>
  <c r="G51" i="5"/>
  <c r="H49" i="5"/>
  <c r="H52" i="5" s="1"/>
  <c r="K49" i="5"/>
  <c r="D49" i="5"/>
  <c r="D52" i="5" s="1"/>
  <c r="C49" i="5"/>
  <c r="J48" i="5"/>
  <c r="I48" i="5"/>
  <c r="F48" i="5"/>
  <c r="E48" i="5"/>
  <c r="J47" i="5"/>
  <c r="I47" i="5"/>
  <c r="F47" i="5"/>
  <c r="E47" i="5"/>
  <c r="J46" i="5"/>
  <c r="I46" i="5"/>
  <c r="F46" i="5"/>
  <c r="E46" i="5"/>
  <c r="J45" i="5"/>
  <c r="I45" i="5"/>
  <c r="F45" i="5"/>
  <c r="E45" i="5"/>
  <c r="J44" i="5"/>
  <c r="I44" i="5"/>
  <c r="F44" i="5"/>
  <c r="E44" i="5"/>
  <c r="J43" i="5"/>
  <c r="I43" i="5"/>
  <c r="F43" i="5"/>
  <c r="E43" i="5"/>
  <c r="J42" i="5"/>
  <c r="I42" i="5"/>
  <c r="F42" i="5"/>
  <c r="E42" i="5"/>
  <c r="J41" i="5"/>
  <c r="F41" i="5"/>
  <c r="E41" i="5"/>
  <c r="J40" i="5"/>
  <c r="I40" i="5"/>
  <c r="F40" i="5"/>
  <c r="J39" i="5"/>
  <c r="I39" i="5"/>
  <c r="F39" i="5"/>
  <c r="I38" i="5"/>
  <c r="F38" i="5"/>
  <c r="E38" i="5"/>
  <c r="J37" i="5"/>
  <c r="I37" i="5"/>
  <c r="F37" i="5"/>
  <c r="E37" i="5"/>
  <c r="J36" i="5"/>
  <c r="I36" i="5"/>
  <c r="F36" i="5"/>
  <c r="E36" i="5"/>
  <c r="J35" i="5"/>
  <c r="I35" i="5"/>
  <c r="F35" i="5"/>
  <c r="E35" i="5"/>
  <c r="J34" i="5"/>
  <c r="I34" i="5"/>
  <c r="F34" i="5"/>
  <c r="E34" i="5"/>
  <c r="J33" i="5"/>
  <c r="I33" i="5"/>
  <c r="F33" i="5"/>
  <c r="E33" i="5"/>
  <c r="J32" i="5"/>
  <c r="I32" i="5"/>
  <c r="F32" i="5"/>
  <c r="E32" i="5"/>
  <c r="J31" i="5"/>
  <c r="I31" i="5"/>
  <c r="F31" i="5"/>
  <c r="E31" i="5"/>
  <c r="J30" i="5"/>
  <c r="I30" i="5"/>
  <c r="F30" i="5"/>
  <c r="E30" i="5"/>
  <c r="H26" i="5"/>
  <c r="G26" i="5"/>
  <c r="D26" i="5"/>
  <c r="C26" i="5"/>
  <c r="H24" i="5"/>
  <c r="G24" i="5"/>
  <c r="D24" i="5"/>
  <c r="C24" i="5"/>
  <c r="H22" i="5"/>
  <c r="L17" i="5" s="1"/>
  <c r="G22" i="5"/>
  <c r="K15" i="5" s="1"/>
  <c r="D22" i="5"/>
  <c r="C22" i="5"/>
  <c r="J21" i="5"/>
  <c r="I21" i="5"/>
  <c r="F21" i="5"/>
  <c r="E21" i="5"/>
  <c r="J20" i="5"/>
  <c r="I20" i="5"/>
  <c r="F20" i="5"/>
  <c r="E20" i="5"/>
  <c r="J19" i="5"/>
  <c r="I19" i="5"/>
  <c r="F19" i="5"/>
  <c r="E19" i="5"/>
  <c r="J18" i="5"/>
  <c r="I18" i="5"/>
  <c r="F18" i="5"/>
  <c r="E18" i="5"/>
  <c r="J17" i="5"/>
  <c r="I17" i="5"/>
  <c r="F17" i="5"/>
  <c r="E17" i="5"/>
  <c r="J16" i="5"/>
  <c r="I16" i="5"/>
  <c r="F16" i="5"/>
  <c r="E16" i="5"/>
  <c r="J15" i="5"/>
  <c r="I15" i="5"/>
  <c r="F15" i="5"/>
  <c r="E15" i="5"/>
  <c r="J14" i="5"/>
  <c r="I14" i="5"/>
  <c r="F14" i="5"/>
  <c r="E14" i="5"/>
  <c r="J13" i="5"/>
  <c r="I13" i="5"/>
  <c r="F13" i="5"/>
  <c r="E13" i="5"/>
  <c r="J12" i="5"/>
  <c r="I12" i="5"/>
  <c r="F12" i="5"/>
  <c r="E12" i="5"/>
  <c r="J11" i="5"/>
  <c r="I11" i="5"/>
  <c r="F11" i="5"/>
  <c r="E11" i="5"/>
  <c r="J10" i="5"/>
  <c r="I10" i="5"/>
  <c r="F10" i="5"/>
  <c r="E10" i="5"/>
  <c r="J9" i="5"/>
  <c r="I9" i="5"/>
  <c r="F9" i="5"/>
  <c r="E9" i="5"/>
  <c r="J8" i="5"/>
  <c r="I8" i="5"/>
  <c r="F8" i="5"/>
  <c r="E8" i="5"/>
  <c r="J7" i="5"/>
  <c r="I7" i="5"/>
  <c r="F7" i="5"/>
  <c r="E7" i="5"/>
  <c r="J6" i="5"/>
  <c r="I6" i="5"/>
  <c r="F6" i="5"/>
  <c r="E6" i="5"/>
  <c r="J5" i="5"/>
  <c r="I5" i="5"/>
  <c r="F5" i="5"/>
  <c r="E5" i="5"/>
  <c r="J4" i="5"/>
  <c r="I4" i="5"/>
  <c r="F4" i="5"/>
  <c r="E4" i="5"/>
  <c r="J3" i="5"/>
  <c r="I3" i="5"/>
  <c r="F3" i="5"/>
  <c r="E3" i="5"/>
  <c r="I67" i="4"/>
  <c r="F67" i="4"/>
  <c r="J66" i="4"/>
  <c r="K66" i="4" s="1"/>
  <c r="H66" i="4"/>
  <c r="D66" i="4"/>
  <c r="E66" i="4" s="1"/>
  <c r="J65" i="4"/>
  <c r="K65" i="4" s="1"/>
  <c r="H65" i="4"/>
  <c r="D65" i="4"/>
  <c r="E65" i="4" s="1"/>
  <c r="J64" i="4"/>
  <c r="K64" i="4" s="1"/>
  <c r="H64" i="4"/>
  <c r="D64" i="4"/>
  <c r="E64" i="4" s="1"/>
  <c r="J63" i="4"/>
  <c r="K63" i="4" s="1"/>
  <c r="H63" i="4"/>
  <c r="D63" i="4"/>
  <c r="E63" i="4" s="1"/>
  <c r="J62" i="4"/>
  <c r="K62" i="4" s="1"/>
  <c r="H62" i="4"/>
  <c r="D62" i="4"/>
  <c r="E62" i="4" s="1"/>
  <c r="J61" i="4"/>
  <c r="K61" i="4" s="1"/>
  <c r="H61" i="4"/>
  <c r="D61" i="4"/>
  <c r="E61" i="4" s="1"/>
  <c r="J60" i="4"/>
  <c r="H60" i="4"/>
  <c r="D60" i="4"/>
  <c r="E60" i="4" s="1"/>
  <c r="H59" i="4"/>
  <c r="E59" i="4"/>
  <c r="G54" i="4"/>
  <c r="F54" i="4"/>
  <c r="K53" i="4"/>
  <c r="H53" i="4"/>
  <c r="E53" i="4"/>
  <c r="K52" i="4"/>
  <c r="H52" i="4"/>
  <c r="E52" i="4"/>
  <c r="K51" i="4"/>
  <c r="H51" i="4"/>
  <c r="E51" i="4"/>
  <c r="K50" i="4"/>
  <c r="H50" i="4"/>
  <c r="E50" i="4"/>
  <c r="K49" i="4"/>
  <c r="H49" i="4"/>
  <c r="E49" i="4"/>
  <c r="K48" i="4"/>
  <c r="H48" i="4"/>
  <c r="E48" i="4"/>
  <c r="K47" i="4"/>
  <c r="H47" i="4"/>
  <c r="E47" i="4"/>
  <c r="J40" i="4"/>
  <c r="K40" i="4" s="1"/>
  <c r="I40" i="4"/>
  <c r="G40" i="4"/>
  <c r="F40" i="4"/>
  <c r="D40" i="4"/>
  <c r="C40" i="4"/>
  <c r="K39" i="4"/>
  <c r="H39" i="4"/>
  <c r="L39" i="4" s="1"/>
  <c r="E39" i="4"/>
  <c r="K38" i="4"/>
  <c r="H38" i="4"/>
  <c r="E38" i="4"/>
  <c r="L38" i="4" s="1"/>
  <c r="K37" i="4"/>
  <c r="H37" i="4"/>
  <c r="L37" i="4" s="1"/>
  <c r="E37" i="4"/>
  <c r="K36" i="4"/>
  <c r="H36" i="4"/>
  <c r="E36" i="4"/>
  <c r="K35" i="4"/>
  <c r="H35" i="4"/>
  <c r="L35" i="4" s="1"/>
  <c r="E35" i="4"/>
  <c r="K34" i="4"/>
  <c r="H34" i="4"/>
  <c r="E34" i="4"/>
  <c r="K33" i="4"/>
  <c r="H33" i="4"/>
  <c r="L33" i="4" s="1"/>
  <c r="E33" i="4"/>
  <c r="K32" i="4"/>
  <c r="H32" i="4"/>
  <c r="E32" i="4"/>
  <c r="J26" i="4"/>
  <c r="I26" i="4"/>
  <c r="K26" i="4" s="1"/>
  <c r="G26" i="4"/>
  <c r="F26" i="4"/>
  <c r="D26" i="4"/>
  <c r="C26" i="4"/>
  <c r="K25" i="4"/>
  <c r="H25" i="4"/>
  <c r="E25" i="4"/>
  <c r="K24" i="4"/>
  <c r="H24" i="4"/>
  <c r="E24" i="4"/>
  <c r="K23" i="4"/>
  <c r="H23" i="4"/>
  <c r="L23" i="4" s="1"/>
  <c r="E23" i="4"/>
  <c r="K22" i="4"/>
  <c r="H22" i="4"/>
  <c r="E22" i="4"/>
  <c r="K21" i="4"/>
  <c r="H21" i="4"/>
  <c r="L21" i="4" s="1"/>
  <c r="E21" i="4"/>
  <c r="K20" i="4"/>
  <c r="H20" i="4"/>
  <c r="E20" i="4"/>
  <c r="K19" i="4"/>
  <c r="H19" i="4"/>
  <c r="L19" i="4" s="1"/>
  <c r="E19" i="4"/>
  <c r="K18" i="4"/>
  <c r="H18" i="4"/>
  <c r="E18" i="4"/>
  <c r="J12" i="4"/>
  <c r="I12" i="4"/>
  <c r="G12" i="4"/>
  <c r="F12" i="4"/>
  <c r="D12" i="4"/>
  <c r="C12" i="4"/>
  <c r="K11" i="4"/>
  <c r="H11" i="4"/>
  <c r="E11" i="4"/>
  <c r="K10" i="4"/>
  <c r="H10" i="4"/>
  <c r="E10" i="4"/>
  <c r="K9" i="4"/>
  <c r="H9" i="4"/>
  <c r="E9" i="4"/>
  <c r="K8" i="4"/>
  <c r="H8" i="4"/>
  <c r="L8" i="4" s="1"/>
  <c r="E8" i="4"/>
  <c r="K7" i="4"/>
  <c r="H7" i="4"/>
  <c r="E7" i="4"/>
  <c r="L7" i="4" s="1"/>
  <c r="K6" i="4"/>
  <c r="H6" i="4"/>
  <c r="E6" i="4"/>
  <c r="K5" i="4"/>
  <c r="H5" i="4"/>
  <c r="E5" i="4"/>
  <c r="K4" i="4"/>
  <c r="H4" i="4"/>
  <c r="L4" i="4" s="1"/>
  <c r="E4" i="4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W32" i="1"/>
  <c r="V32" i="1"/>
  <c r="U32" i="1"/>
  <c r="T32" i="1"/>
  <c r="S32" i="1"/>
  <c r="R32" i="1"/>
  <c r="Q32" i="1"/>
  <c r="P32" i="1"/>
  <c r="O32" i="1"/>
  <c r="N32" i="1"/>
  <c r="M32" i="1"/>
  <c r="L32" i="1"/>
  <c r="K32" i="1"/>
  <c r="J32" i="1"/>
  <c r="I32" i="1"/>
  <c r="H32" i="1"/>
  <c r="G32" i="1"/>
  <c r="F32" i="1"/>
  <c r="AW29" i="1"/>
  <c r="AV29" i="1"/>
  <c r="AW28" i="1"/>
  <c r="AV28" i="1"/>
  <c r="AW27" i="1"/>
  <c r="AV27" i="1"/>
  <c r="AC26" i="1"/>
  <c r="AO25" i="1"/>
  <c r="AN25" i="1"/>
  <c r="AP25" i="1"/>
  <c r="AE25" i="1"/>
  <c r="AT25" i="1" s="1"/>
  <c r="AU25" i="1" s="1"/>
  <c r="W25" i="1"/>
  <c r="U25" i="1"/>
  <c r="S25" i="1"/>
  <c r="X25" i="1" s="1"/>
  <c r="Q25" i="1"/>
  <c r="P25" i="1"/>
  <c r="O25" i="1"/>
  <c r="M25" i="1"/>
  <c r="AO24" i="1"/>
  <c r="AN24" i="1"/>
  <c r="AF24" i="1"/>
  <c r="AE24" i="1"/>
  <c r="AT24" i="1" s="1"/>
  <c r="AU24" i="1" s="1"/>
  <c r="W24" i="1"/>
  <c r="U24" i="1"/>
  <c r="S24" i="1"/>
  <c r="X24" i="1" s="1"/>
  <c r="Q24" i="1"/>
  <c r="P24" i="1"/>
  <c r="M24" i="1"/>
  <c r="AO23" i="1"/>
  <c r="AN23" i="1"/>
  <c r="AP23" i="1"/>
  <c r="AF23" i="1"/>
  <c r="AE23" i="1"/>
  <c r="AT23" i="1" s="1"/>
  <c r="AU23" i="1" s="1"/>
  <c r="W23" i="1"/>
  <c r="Y23" i="1" s="1"/>
  <c r="S23" i="1"/>
  <c r="X23" i="1" s="1"/>
  <c r="Q23" i="1"/>
  <c r="P23" i="1"/>
  <c r="M23" i="1"/>
  <c r="N23" i="1" s="1"/>
  <c r="AO22" i="1"/>
  <c r="AN22" i="1"/>
  <c r="AP22" i="1"/>
  <c r="AF22" i="1"/>
  <c r="AE22" i="1"/>
  <c r="AT22" i="1" s="1"/>
  <c r="AU22" i="1" s="1"/>
  <c r="U22" i="1"/>
  <c r="Y22" i="1" s="1"/>
  <c r="S22" i="1"/>
  <c r="X22" i="1" s="1"/>
  <c r="Q22" i="1"/>
  <c r="P22" i="1"/>
  <c r="O22" i="1"/>
  <c r="M22" i="1"/>
  <c r="N22" i="1" s="1"/>
  <c r="AO21" i="1"/>
  <c r="AN21" i="1"/>
  <c r="AP21" i="1"/>
  <c r="AF21" i="1"/>
  <c r="AE21" i="1"/>
  <c r="AT21" i="1" s="1"/>
  <c r="AU21" i="1" s="1"/>
  <c r="W21" i="1"/>
  <c r="U21" i="1"/>
  <c r="Q21" i="1"/>
  <c r="P21" i="1"/>
  <c r="AO20" i="1"/>
  <c r="AN20" i="1"/>
  <c r="AP20" i="1"/>
  <c r="AF20" i="1"/>
  <c r="AE20" i="1"/>
  <c r="AT20" i="1" s="1"/>
  <c r="AU20" i="1" s="1"/>
  <c r="W20" i="1"/>
  <c r="U20" i="1"/>
  <c r="S20" i="1"/>
  <c r="X20" i="1" s="1"/>
  <c r="Q20" i="1"/>
  <c r="P20" i="1"/>
  <c r="O20" i="1"/>
  <c r="H20" i="1"/>
  <c r="M20" i="1" s="1"/>
  <c r="AO19" i="1"/>
  <c r="AN19" i="1"/>
  <c r="AP19" i="1"/>
  <c r="AF19" i="1"/>
  <c r="AE19" i="1"/>
  <c r="AT19" i="1" s="1"/>
  <c r="AU19" i="1" s="1"/>
  <c r="W19" i="1"/>
  <c r="U19" i="1"/>
  <c r="S19" i="1"/>
  <c r="X19" i="1" s="1"/>
  <c r="Q19" i="1"/>
  <c r="P19" i="1"/>
  <c r="M19" i="1"/>
  <c r="N19" i="1" s="1"/>
  <c r="AO18" i="1"/>
  <c r="AN18" i="1"/>
  <c r="AP18" i="1"/>
  <c r="AF18" i="1"/>
  <c r="AE18" i="1"/>
  <c r="AT18" i="1" s="1"/>
  <c r="AU18" i="1" s="1"/>
  <c r="W18" i="1"/>
  <c r="U18" i="1"/>
  <c r="S18" i="1"/>
  <c r="X18" i="1" s="1"/>
  <c r="M18" i="1"/>
  <c r="N18" i="1" s="1"/>
  <c r="AO17" i="1"/>
  <c r="AN17" i="1"/>
  <c r="AF17" i="1"/>
  <c r="AE17" i="1"/>
  <c r="AT17" i="1" s="1"/>
  <c r="AU17" i="1" s="1"/>
  <c r="W17" i="1"/>
  <c r="U17" i="1"/>
  <c r="S17" i="1"/>
  <c r="X17" i="1" s="1"/>
  <c r="M17" i="1"/>
  <c r="N17" i="1" s="1"/>
  <c r="AO16" i="1"/>
  <c r="AN16" i="1"/>
  <c r="AF16" i="1"/>
  <c r="AE16" i="1"/>
  <c r="AT16" i="1" s="1"/>
  <c r="AU16" i="1" s="1"/>
  <c r="U16" i="1"/>
  <c r="S16" i="1"/>
  <c r="X16" i="1" s="1"/>
  <c r="Q16" i="1"/>
  <c r="P16" i="1"/>
  <c r="O16" i="1"/>
  <c r="H16" i="1"/>
  <c r="M16" i="1" s="1"/>
  <c r="N16" i="1" s="1"/>
  <c r="AO15" i="1"/>
  <c r="AN15" i="1"/>
  <c r="AF15" i="1"/>
  <c r="AE15" i="1"/>
  <c r="AT15" i="1" s="1"/>
  <c r="AU15" i="1" s="1"/>
  <c r="U15" i="1"/>
  <c r="Y15" i="1" s="1"/>
  <c r="S15" i="1"/>
  <c r="X15" i="1" s="1"/>
  <c r="Q15" i="1"/>
  <c r="P15" i="1"/>
  <c r="AO11" i="1"/>
  <c r="AN11" i="1"/>
  <c r="AP11" i="1"/>
  <c r="AF11" i="1"/>
  <c r="AE11" i="1"/>
  <c r="AT11" i="1" s="1"/>
  <c r="AU11" i="1" s="1"/>
  <c r="W11" i="1"/>
  <c r="Y11" i="1" s="1"/>
  <c r="U11" i="1"/>
  <c r="S11" i="1"/>
  <c r="X11" i="1" s="1"/>
  <c r="Q11" i="1"/>
  <c r="P11" i="1"/>
  <c r="AO10" i="1"/>
  <c r="AN10" i="1"/>
  <c r="AP10" i="1"/>
  <c r="AF10" i="1"/>
  <c r="AE10" i="1"/>
  <c r="AT10" i="1" s="1"/>
  <c r="AU10" i="1" s="1"/>
  <c r="W10" i="1"/>
  <c r="U10" i="1"/>
  <c r="S10" i="1"/>
  <c r="X10" i="1" s="1"/>
  <c r="Q10" i="1"/>
  <c r="P10" i="1"/>
  <c r="AO9" i="1"/>
  <c r="AN9" i="1"/>
  <c r="AP9" i="1"/>
  <c r="AF9" i="1"/>
  <c r="AE9" i="1"/>
  <c r="AT9" i="1" s="1"/>
  <c r="AU9" i="1" s="1"/>
  <c r="W9" i="1"/>
  <c r="Y9" i="1" s="1"/>
  <c r="S9" i="1"/>
  <c r="X9" i="1" s="1"/>
  <c r="Q9" i="1"/>
  <c r="P9" i="1"/>
  <c r="O9" i="1"/>
  <c r="H9" i="1"/>
  <c r="AO8" i="1"/>
  <c r="AN8" i="1"/>
  <c r="AE8" i="1"/>
  <c r="AT8" i="1" s="1"/>
  <c r="AU8" i="1" s="1"/>
  <c r="W8" i="1"/>
  <c r="U8" i="1"/>
  <c r="S8" i="1"/>
  <c r="X8" i="1" s="1"/>
  <c r="Q8" i="1"/>
  <c r="P8" i="1"/>
  <c r="O8" i="1"/>
  <c r="AO7" i="1"/>
  <c r="AN7" i="1"/>
  <c r="AP7" i="1"/>
  <c r="AF7" i="1"/>
  <c r="AE7" i="1"/>
  <c r="AT7" i="1" s="1"/>
  <c r="AU7" i="1" s="1"/>
  <c r="W7" i="1"/>
  <c r="U7" i="1"/>
  <c r="S7" i="1"/>
  <c r="X7" i="1" s="1"/>
  <c r="Q7" i="1"/>
  <c r="P7" i="1"/>
  <c r="O7" i="1"/>
  <c r="H7" i="1"/>
  <c r="M7" i="1" s="1"/>
  <c r="N7" i="1" s="1"/>
  <c r="AO6" i="1"/>
  <c r="AN6" i="1"/>
  <c r="AP6" i="1"/>
  <c r="AF6" i="1"/>
  <c r="AE6" i="1"/>
  <c r="AT6" i="1" s="1"/>
  <c r="AU6" i="1" s="1"/>
  <c r="W6" i="1"/>
  <c r="U6" i="1"/>
  <c r="S6" i="1"/>
  <c r="X6" i="1" s="1"/>
  <c r="Q6" i="1"/>
  <c r="P6" i="1"/>
  <c r="O6" i="1"/>
  <c r="M6" i="1"/>
  <c r="N6" i="1" s="1"/>
  <c r="AO5" i="1"/>
  <c r="AN5" i="1"/>
  <c r="AF5" i="1"/>
  <c r="AE5" i="1"/>
  <c r="AT5" i="1" s="1"/>
  <c r="AU5" i="1" s="1"/>
  <c r="W5" i="1"/>
  <c r="U5" i="1"/>
  <c r="S5" i="1"/>
  <c r="X5" i="1" s="1"/>
  <c r="Q5" i="1"/>
  <c r="P5" i="1"/>
  <c r="H5" i="1"/>
  <c r="AO4" i="1"/>
  <c r="AN4" i="1"/>
  <c r="AF4" i="1"/>
  <c r="AE4" i="1"/>
  <c r="AT4" i="1" s="1"/>
  <c r="AU4" i="1" s="1"/>
  <c r="W4" i="1"/>
  <c r="Y4" i="1" s="1"/>
  <c r="Q4" i="1"/>
  <c r="P4" i="1"/>
  <c r="H4" i="1"/>
  <c r="Y7" i="1" l="1"/>
  <c r="Y20" i="1"/>
  <c r="Y8" i="1"/>
  <c r="Y10" i="1"/>
  <c r="Y25" i="1"/>
  <c r="Y24" i="1"/>
  <c r="Y21" i="1"/>
  <c r="Y19" i="1"/>
  <c r="Y18" i="1"/>
  <c r="Y17" i="1"/>
  <c r="Y6" i="1"/>
  <c r="Y5" i="1"/>
  <c r="L34" i="4"/>
  <c r="L10" i="4"/>
  <c r="L25" i="4"/>
  <c r="L6" i="4"/>
  <c r="L11" i="4"/>
  <c r="E12" i="4"/>
  <c r="L5" i="4"/>
  <c r="H12" i="4"/>
  <c r="L12" i="4" s="1"/>
  <c r="L18" i="4"/>
  <c r="L22" i="4"/>
  <c r="E26" i="4"/>
  <c r="L36" i="4"/>
  <c r="H40" i="4"/>
  <c r="L9" i="4"/>
  <c r="K12" i="4"/>
  <c r="L20" i="4"/>
  <c r="L24" i="4"/>
  <c r="H26" i="4"/>
  <c r="L32" i="4"/>
  <c r="E40" i="4"/>
  <c r="H34" i="1"/>
  <c r="M34" i="1" s="1"/>
  <c r="N34" i="1" s="1"/>
  <c r="E49" i="5"/>
  <c r="H26" i="1"/>
  <c r="I27" i="1" s="1"/>
  <c r="AT34" i="1"/>
  <c r="AU34" i="1" s="1"/>
  <c r="AT33" i="1"/>
  <c r="H33" i="1"/>
  <c r="M33" i="1" s="1"/>
  <c r="N33" i="1" s="1"/>
  <c r="S33" i="1"/>
  <c r="X33" i="1" s="1"/>
  <c r="S34" i="1"/>
  <c r="X34" i="1" s="1"/>
  <c r="K60" i="4"/>
  <c r="J67" i="4"/>
  <c r="K67" i="4" s="1"/>
  <c r="H54" i="4"/>
  <c r="C25" i="5"/>
  <c r="M4" i="1"/>
  <c r="N4" i="1" s="1"/>
  <c r="M10" i="1"/>
  <c r="N10" i="1" s="1"/>
  <c r="M8" i="1"/>
  <c r="N8" i="1" s="1"/>
  <c r="W16" i="1"/>
  <c r="Y16" i="1" s="1"/>
  <c r="M9" i="1"/>
  <c r="N9" i="1" s="1"/>
  <c r="E26" i="5"/>
  <c r="M11" i="1"/>
  <c r="N11" i="1" s="1"/>
  <c r="N20" i="1"/>
  <c r="M21" i="1"/>
  <c r="N21" i="1" s="1"/>
  <c r="AW19" i="1"/>
  <c r="AW25" i="1"/>
  <c r="N25" i="1"/>
  <c r="AW17" i="1"/>
  <c r="I51" i="5"/>
  <c r="S26" i="1"/>
  <c r="X26" i="1" s="1"/>
  <c r="K6" i="5"/>
  <c r="K14" i="5"/>
  <c r="F24" i="5"/>
  <c r="AP5" i="1"/>
  <c r="AP34" i="1"/>
  <c r="AW23" i="1"/>
  <c r="AN26" i="1"/>
  <c r="O26" i="1"/>
  <c r="AF26" i="1"/>
  <c r="AX29" i="1"/>
  <c r="AP24" i="1"/>
  <c r="N24" i="1"/>
  <c r="AP16" i="1"/>
  <c r="AP17" i="1"/>
  <c r="AP33" i="1"/>
  <c r="L48" i="4"/>
  <c r="L50" i="4"/>
  <c r="AX28" i="1"/>
  <c r="K43" i="5"/>
  <c r="K34" i="5"/>
  <c r="K38" i="5"/>
  <c r="K42" i="5"/>
  <c r="K33" i="5"/>
  <c r="AG7" i="1"/>
  <c r="K54" i="4"/>
  <c r="L33" i="5"/>
  <c r="K37" i="5"/>
  <c r="K39" i="5"/>
  <c r="G52" i="5"/>
  <c r="K52" i="5" s="1"/>
  <c r="AX27" i="1"/>
  <c r="AD11" i="1"/>
  <c r="AG16" i="1"/>
  <c r="AD20" i="1"/>
  <c r="AG18" i="1"/>
  <c r="AD22" i="1"/>
  <c r="AG22" i="1"/>
  <c r="AD5" i="1"/>
  <c r="AG9" i="1"/>
  <c r="AD7" i="1"/>
  <c r="AD9" i="1"/>
  <c r="AD18" i="1"/>
  <c r="AD16" i="1"/>
  <c r="AD24" i="1"/>
  <c r="AG4" i="1"/>
  <c r="AD10" i="1"/>
  <c r="AD19" i="1"/>
  <c r="AG21" i="1"/>
  <c r="AG24" i="1"/>
  <c r="AG5" i="1"/>
  <c r="AD8" i="1"/>
  <c r="AG10" i="1"/>
  <c r="AD17" i="1"/>
  <c r="AG19" i="1"/>
  <c r="AD25" i="1"/>
  <c r="AD6" i="1"/>
  <c r="AG8" i="1"/>
  <c r="AG11" i="1"/>
  <c r="AD15" i="1"/>
  <c r="AG17" i="1"/>
  <c r="AG20" i="1"/>
  <c r="AD23" i="1"/>
  <c r="AG25" i="1"/>
  <c r="AD4" i="1"/>
  <c r="AG6" i="1"/>
  <c r="AG15" i="1"/>
  <c r="AD21" i="1"/>
  <c r="AG23" i="1"/>
  <c r="J53" i="5"/>
  <c r="L53" i="5"/>
  <c r="C52" i="5"/>
  <c r="E52" i="5" s="1"/>
  <c r="J51" i="5"/>
  <c r="L7" i="5"/>
  <c r="K24" i="5"/>
  <c r="K51" i="5"/>
  <c r="K26" i="5"/>
  <c r="F51" i="5"/>
  <c r="L4" i="5"/>
  <c r="J26" i="5"/>
  <c r="L9" i="5"/>
  <c r="L19" i="5"/>
  <c r="L14" i="5"/>
  <c r="L11" i="5"/>
  <c r="L16" i="5"/>
  <c r="L21" i="5"/>
  <c r="L24" i="5"/>
  <c r="L8" i="5"/>
  <c r="L13" i="5"/>
  <c r="L18" i="5"/>
  <c r="L42" i="5"/>
  <c r="L5" i="5"/>
  <c r="L10" i="5"/>
  <c r="L20" i="5"/>
  <c r="F26" i="5"/>
  <c r="L46" i="5"/>
  <c r="I22" i="5"/>
  <c r="L12" i="5"/>
  <c r="L15" i="5"/>
  <c r="M15" i="5" s="1"/>
  <c r="D25" i="5"/>
  <c r="E25" i="5" s="1"/>
  <c r="J24" i="5"/>
  <c r="K32" i="5"/>
  <c r="K36" i="5"/>
  <c r="L37" i="5"/>
  <c r="L49" i="5"/>
  <c r="M49" i="5" s="1"/>
  <c r="F22" i="5"/>
  <c r="I49" i="5"/>
  <c r="L32" i="5"/>
  <c r="L36" i="5"/>
  <c r="L41" i="5"/>
  <c r="M41" i="5" s="1"/>
  <c r="K45" i="5"/>
  <c r="K48" i="5"/>
  <c r="L52" i="5"/>
  <c r="L3" i="5"/>
  <c r="L6" i="5"/>
  <c r="K31" i="5"/>
  <c r="K35" i="5"/>
  <c r="K40" i="5"/>
  <c r="K44" i="5"/>
  <c r="L45" i="5"/>
  <c r="L48" i="5"/>
  <c r="H25" i="5"/>
  <c r="K30" i="5"/>
  <c r="L31" i="5"/>
  <c r="L35" i="5"/>
  <c r="L40" i="5"/>
  <c r="L44" i="5"/>
  <c r="L30" i="5"/>
  <c r="K47" i="5"/>
  <c r="L51" i="5"/>
  <c r="L34" i="5"/>
  <c r="L39" i="5"/>
  <c r="L43" i="5"/>
  <c r="F49" i="5"/>
  <c r="K53" i="5"/>
  <c r="E22" i="5"/>
  <c r="L38" i="5"/>
  <c r="K5" i="5"/>
  <c r="K13" i="5"/>
  <c r="K21" i="5"/>
  <c r="E24" i="5"/>
  <c r="K4" i="5"/>
  <c r="K12" i="5"/>
  <c r="K20" i="5"/>
  <c r="E51" i="5"/>
  <c r="K3" i="5"/>
  <c r="K11" i="5"/>
  <c r="K19" i="5"/>
  <c r="J22" i="5"/>
  <c r="I26" i="5"/>
  <c r="K10" i="5"/>
  <c r="K18" i="5"/>
  <c r="K22" i="5"/>
  <c r="K46" i="5"/>
  <c r="L47" i="5"/>
  <c r="J49" i="5"/>
  <c r="I53" i="5"/>
  <c r="K9" i="5"/>
  <c r="K17" i="5"/>
  <c r="M17" i="5" s="1"/>
  <c r="L22" i="5"/>
  <c r="I24" i="5"/>
  <c r="K8" i="5"/>
  <c r="K16" i="5"/>
  <c r="G25" i="5"/>
  <c r="K25" i="5" s="1"/>
  <c r="L26" i="5"/>
  <c r="K7" i="5"/>
  <c r="E54" i="4"/>
  <c r="L49" i="4"/>
  <c r="L61" i="4"/>
  <c r="L52" i="4"/>
  <c r="L47" i="4"/>
  <c r="L62" i="4"/>
  <c r="L66" i="4"/>
  <c r="L53" i="4"/>
  <c r="D67" i="4"/>
  <c r="E67" i="4" s="1"/>
  <c r="L51" i="4"/>
  <c r="L59" i="4"/>
  <c r="L63" i="4"/>
  <c r="L65" i="4"/>
  <c r="L40" i="4"/>
  <c r="L60" i="4"/>
  <c r="L64" i="4"/>
  <c r="H67" i="4"/>
  <c r="K59" i="4"/>
  <c r="AS26" i="1"/>
  <c r="AE26" i="1"/>
  <c r="AB26" i="1"/>
  <c r="AV23" i="1"/>
  <c r="AV21" i="1"/>
  <c r="AV16" i="1"/>
  <c r="AV22" i="1"/>
  <c r="AW18" i="1"/>
  <c r="AV20" i="1"/>
  <c r="AV6" i="1"/>
  <c r="AV7" i="1"/>
  <c r="AV4" i="1"/>
  <c r="AV19" i="1"/>
  <c r="AV5" i="1"/>
  <c r="AV10" i="1"/>
  <c r="AV17" i="1"/>
  <c r="AV25" i="1"/>
  <c r="AV15" i="1"/>
  <c r="AV11" i="1"/>
  <c r="AV18" i="1"/>
  <c r="AV8" i="1"/>
  <c r="AW7" i="1"/>
  <c r="AV9" i="1"/>
  <c r="AW16" i="1"/>
  <c r="AW22" i="1"/>
  <c r="AV24" i="1"/>
  <c r="AP26" i="1"/>
  <c r="AP4" i="1"/>
  <c r="M5" i="1"/>
  <c r="N5" i="1" s="1"/>
  <c r="AP8" i="1"/>
  <c r="AP15" i="1"/>
  <c r="P26" i="1"/>
  <c r="AW6" i="1"/>
  <c r="AW15" i="1"/>
  <c r="M11" i="5" l="1"/>
  <c r="L26" i="4"/>
  <c r="M26" i="1"/>
  <c r="N26" i="1" s="1"/>
  <c r="AG26" i="1"/>
  <c r="AV34" i="1"/>
  <c r="AW34" i="1"/>
  <c r="AW10" i="1"/>
  <c r="AX10" i="1" s="1"/>
  <c r="AV33" i="1"/>
  <c r="AU33" i="1"/>
  <c r="AW33" i="1"/>
  <c r="AW8" i="1"/>
  <c r="AX8" i="1" s="1"/>
  <c r="AW9" i="1"/>
  <c r="AX9" i="1" s="1"/>
  <c r="M38" i="5"/>
  <c r="M45" i="5"/>
  <c r="AX19" i="1"/>
  <c r="AW20" i="1"/>
  <c r="AX20" i="1" s="1"/>
  <c r="AW11" i="1"/>
  <c r="AX11" i="1" s="1"/>
  <c r="AX17" i="1"/>
  <c r="AW21" i="1"/>
  <c r="AX21" i="1" s="1"/>
  <c r="AX25" i="1"/>
  <c r="AW4" i="1"/>
  <c r="AX4" i="1" s="1"/>
  <c r="AW24" i="1"/>
  <c r="AX24" i="1" s="1"/>
  <c r="M6" i="5"/>
  <c r="M7" i="5"/>
  <c r="M26" i="5"/>
  <c r="M18" i="5"/>
  <c r="M14" i="5"/>
  <c r="M8" i="5"/>
  <c r="M24" i="5"/>
  <c r="M19" i="5"/>
  <c r="AX23" i="1"/>
  <c r="M40" i="5"/>
  <c r="M43" i="5"/>
  <c r="M37" i="5"/>
  <c r="M33" i="5"/>
  <c r="M34" i="5"/>
  <c r="M35" i="5"/>
  <c r="M44" i="5"/>
  <c r="M32" i="5"/>
  <c r="M48" i="5"/>
  <c r="M42" i="5"/>
  <c r="L54" i="4"/>
  <c r="L67" i="4"/>
  <c r="M51" i="5"/>
  <c r="M52" i="5"/>
  <c r="M39" i="5"/>
  <c r="F52" i="5"/>
  <c r="AX22" i="1"/>
  <c r="M53" i="5"/>
  <c r="M21" i="5"/>
  <c r="F25" i="5"/>
  <c r="I25" i="5"/>
  <c r="M13" i="5"/>
  <c r="M46" i="5"/>
  <c r="M3" i="5"/>
  <c r="M10" i="5"/>
  <c r="L25" i="5"/>
  <c r="M25" i="5" s="1"/>
  <c r="M4" i="5"/>
  <c r="M20" i="5"/>
  <c r="M9" i="5"/>
  <c r="J52" i="5"/>
  <c r="M12" i="5"/>
  <c r="M22" i="5"/>
  <c r="M5" i="5"/>
  <c r="I52" i="5"/>
  <c r="M16" i="5"/>
  <c r="M47" i="5"/>
  <c r="M36" i="5"/>
  <c r="M31" i="5"/>
  <c r="J25" i="5"/>
  <c r="M30" i="5"/>
  <c r="AD26" i="1"/>
  <c r="AT26" i="1"/>
  <c r="AV26" i="1" s="1"/>
  <c r="AX6" i="1"/>
  <c r="AX18" i="1"/>
  <c r="AX7" i="1"/>
  <c r="AX15" i="1"/>
  <c r="AW5" i="1"/>
  <c r="AX5" i="1" s="1"/>
  <c r="AX16" i="1"/>
  <c r="AX34" i="1" l="1"/>
  <c r="AW26" i="1"/>
  <c r="AX26" i="1" s="1"/>
  <c r="AX33" i="1"/>
  <c r="AU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Acer</author>
  </authors>
  <commentList>
    <comment ref="B3" authorId="0" shapeId="0" xr:uid="{5607025A-4B5E-407B-BFA0-EA218B38ED7A}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<sst xmlns="http://schemas.openxmlformats.org/spreadsheetml/2006/main" count="376" uniqueCount="182">
  <si>
    <t>PRODUCTIVIDAD</t>
  </si>
  <si>
    <t>TIPO TIENDA</t>
  </si>
  <si>
    <t>CO</t>
  </si>
  <si>
    <t>NOMBRE DE TIENDA</t>
  </si>
  <si>
    <t>% CUMPLIMIENTO DIA ANTERIOR</t>
  </si>
  <si>
    <t>BAJO O SUBIO VS DIA ANTERIOR</t>
  </si>
  <si>
    <t>% CUMPLIMIENTO VS META PERMODA</t>
  </si>
  <si>
    <t>CRECIMIENTO VS COMPARATIVO</t>
  </si>
  <si>
    <t>META DE CREDITOS</t>
  </si>
  <si>
    <t>META CREDITO HOY</t>
  </si>
  <si>
    <t>% CUMPLIMIENTO META CREDITOS</t>
  </si>
  <si>
    <t>CUMPLIMIENTO JEANS</t>
  </si>
  <si>
    <t>DIFERENCIA</t>
  </si>
  <si>
    <t>PROYECCION EN VENTA CON TIQUET AÑO PASADO</t>
  </si>
  <si>
    <t>PERDIDA DE DINERO</t>
  </si>
  <si>
    <t>CUMPLIMIENTO QUE LLEVARIA</t>
  </si>
  <si>
    <t>CUMPLIMIENTO QUE LLEVA</t>
  </si>
  <si>
    <t>DIFERENCIA DE CUMPLIMIENTO</t>
  </si>
  <si>
    <t>A</t>
  </si>
  <si>
    <t>10H - T.KOAJ ZIPAQUIRA LA CASONA C1</t>
  </si>
  <si>
    <t>17J - TK.ZIPAQUIRA 6 LA ESMERALDA C1</t>
  </si>
  <si>
    <t>32J - TIENDA KOAJ ZIPAQUIRA 8 C1</t>
  </si>
  <si>
    <t>33J - TIENDA KOAJ ZIPAQUIRA 7 C1</t>
  </si>
  <si>
    <t>5F0 - TIENDA KOAJ CENTRO CHIA C1</t>
  </si>
  <si>
    <t>68J - FR. MULTIMARCA CHIA C2</t>
  </si>
  <si>
    <t>B</t>
  </si>
  <si>
    <t>A44</t>
  </si>
  <si>
    <t>A55</t>
  </si>
  <si>
    <t>A55 ANOLAIMA</t>
  </si>
  <si>
    <t>A70</t>
  </si>
  <si>
    <t>A70 LA VEGA</t>
  </si>
  <si>
    <t>A71</t>
  </si>
  <si>
    <t>A71 LA VENTAQUEMADA</t>
  </si>
  <si>
    <t>B29</t>
  </si>
  <si>
    <t>B29 - KOAJ BASIC SOPO C1</t>
  </si>
  <si>
    <t>B33</t>
  </si>
  <si>
    <t>B33 - KOAJ BASIC PRADO VERANIEGO C1</t>
  </si>
  <si>
    <t>B80</t>
  </si>
  <si>
    <t>B80 - KOAJ BASIC GACHANCIPA C1</t>
  </si>
  <si>
    <t>D83</t>
  </si>
  <si>
    <t>D83 - KOAJ BASIC SAN FRANCISCO C1</t>
  </si>
  <si>
    <t>P01 - TIENDA KOAJ CAJICA 4 C1</t>
  </si>
  <si>
    <t>P03 - TIENDA KOAJ CAJICA 3 LA GUACA1</t>
  </si>
  <si>
    <t>V05</t>
  </si>
  <si>
    <t>V05 - KOAJ BASIC GUASCA C1</t>
  </si>
  <si>
    <t>V10</t>
  </si>
  <si>
    <t>V10 - KOAJ BASIC VILLAPINZON C1</t>
  </si>
  <si>
    <t>V23</t>
  </si>
  <si>
    <t>V23 - KOAJ BASIC COGUA C1</t>
  </si>
  <si>
    <t>V34</t>
  </si>
  <si>
    <t>V34 - KOAJ BASIC CAJICA 2 C1</t>
  </si>
  <si>
    <t>V49</t>
  </si>
  <si>
    <t>V49 - KOAJ BASIC NEMOCON C1</t>
  </si>
  <si>
    <t>META</t>
  </si>
  <si>
    <t>FRAMA 373</t>
  </si>
  <si>
    <t>ZONA YEYI</t>
  </si>
  <si>
    <t>SEMANA 1</t>
  </si>
  <si>
    <t>Entradas</t>
  </si>
  <si>
    <t>VENTA</t>
  </si>
  <si>
    <t>CONVERSION</t>
  </si>
  <si>
    <t>GESTION TIENDA</t>
  </si>
  <si>
    <t>ID Tienda</t>
  </si>
  <si>
    <t>Tienda</t>
  </si>
  <si>
    <t>Crecimiento</t>
  </si>
  <si>
    <t>T857</t>
  </si>
  <si>
    <t>857 TIENDA KOAJ CENTRO CHIA</t>
  </si>
  <si>
    <t>T373</t>
  </si>
  <si>
    <t>373 TIENDA KOAJ CAJICA</t>
  </si>
  <si>
    <t>TB33</t>
  </si>
  <si>
    <t>B33 KOAJ BASIC PRADO VERANIEGO</t>
  </si>
  <si>
    <t>T894</t>
  </si>
  <si>
    <t>894 TIENDA KOAJ ZIPAQUIRA 8</t>
  </si>
  <si>
    <t>T895</t>
  </si>
  <si>
    <t>895 TIENDA KOAJ ZIPAQUIRA 7</t>
  </si>
  <si>
    <t>TB29</t>
  </si>
  <si>
    <t>B29 KOAJ BASIC SOPO</t>
  </si>
  <si>
    <t>T892</t>
  </si>
  <si>
    <t>892 T.KOAJ ZIPAQUIRA 6 LA ESME</t>
  </si>
  <si>
    <t>T975</t>
  </si>
  <si>
    <t>975 T.KOAJ ZIPAQUIRA LA CASONA</t>
  </si>
  <si>
    <t>SEMANA 2</t>
  </si>
  <si>
    <t>SEMANA 3</t>
  </si>
  <si>
    <t>CRECIMIENTO DEPTOS VS 2023 COMPARATIVO SIN TIENDAS DE PROMO</t>
  </si>
  <si>
    <t>Departamento</t>
  </si>
  <si>
    <t>UNDS 2023</t>
  </si>
  <si>
    <t>UNDS 2024</t>
  </si>
  <si>
    <t>CRECIMIENTO</t>
  </si>
  <si>
    <t>VENTA 2023</t>
  </si>
  <si>
    <t>VENTA 2024</t>
  </si>
  <si>
    <t>PARTCI 2023</t>
  </si>
  <si>
    <t>ACCESORIOS BISUTERIA</t>
  </si>
  <si>
    <t>ACCESORIOS MARROQUINERIA</t>
  </si>
  <si>
    <t>ACCESORIOS TEXTILES</t>
  </si>
  <si>
    <t>BERMUDA</t>
  </si>
  <si>
    <t>BLAZER</t>
  </si>
  <si>
    <t>BLUSA</t>
  </si>
  <si>
    <t>BUSO</t>
  </si>
  <si>
    <t>CAMISA</t>
  </si>
  <si>
    <t>CAMISETA</t>
  </si>
  <si>
    <t>CAMISETA POLO</t>
  </si>
  <si>
    <t>CHALECO</t>
  </si>
  <si>
    <t>CHAQUETA</t>
  </si>
  <si>
    <t>FALDA</t>
  </si>
  <si>
    <t>GABAN</t>
  </si>
  <si>
    <t>PANTALON DRIL</t>
  </si>
  <si>
    <t>PANTALON JEAN</t>
  </si>
  <si>
    <t>PANTALON MODA</t>
  </si>
  <si>
    <t>SUETER</t>
  </si>
  <si>
    <t>VESTIDO</t>
  </si>
  <si>
    <t>Totales</t>
  </si>
  <si>
    <t>Categorias TOP</t>
  </si>
  <si>
    <t>Categorias DECRECEN</t>
  </si>
  <si>
    <t>Categoria CRECEN</t>
  </si>
  <si>
    <t>PARTCI 2024</t>
  </si>
  <si>
    <t>A89</t>
  </si>
  <si>
    <t>A89 - KOAJ BASIC SONSON C1</t>
  </si>
  <si>
    <t>UNDS LA VEGA</t>
  </si>
  <si>
    <t>VENTA LA VEGA</t>
  </si>
  <si>
    <t>FACTURAS 2024</t>
  </si>
  <si>
    <t>UNDS 2025</t>
  </si>
  <si>
    <t>VENTA 2025</t>
  </si>
  <si>
    <t>PARTCI 2025</t>
  </si>
  <si>
    <t>UNDS REAL 2024</t>
  </si>
  <si>
    <t>UNDS FINAL 2024</t>
  </si>
  <si>
    <t>VENTA REAL 2024</t>
  </si>
  <si>
    <t>VENTA  FINAL 2024</t>
  </si>
  <si>
    <t>ZONA DAVID</t>
  </si>
  <si>
    <t>&lt;</t>
  </si>
  <si>
    <t>CRECIMIENTO DEPTOS VS 2024 CALENDARIO TOTAL DE TIENDAS DICIEMBRE</t>
  </si>
  <si>
    <t>ZONA A</t>
  </si>
  <si>
    <t>ZONA B</t>
  </si>
  <si>
    <t>CENTRO CHIA</t>
  </si>
  <si>
    <t>ZONA C</t>
  </si>
  <si>
    <t>GESTIÓN TIENDAS CON CALENDARIO VS 2024 DEL 01 AL 31 DE DICIEMBRE</t>
  </si>
  <si>
    <t>GESTIÓN TIENDAS CON COMPARTIVO VS 2024 DEL 02 AL 01 ENERO 2025</t>
  </si>
  <si>
    <t>cajas</t>
  </si>
  <si>
    <t>cod</t>
  </si>
  <si>
    <t>5F1 - TIENDA KOAJ CENTRO CHIA C2</t>
  </si>
  <si>
    <t>X11 - T.KOAJ ZIPAQUIRA LA CASONA C2</t>
  </si>
  <si>
    <t>X15 - TIENDA KOAJ ZIPAQUIRA 7 C3</t>
  </si>
  <si>
    <t>194 - FR. MULTIMARCA CHIA C1</t>
  </si>
  <si>
    <t>A44 - KOAJ BASIC SILVANIA C1</t>
  </si>
  <si>
    <t>P02 - TIENDA KOAJ CAJICA 4 C2</t>
  </si>
  <si>
    <t>A55 - KOAJ BASIC ANOLAIMA C1</t>
  </si>
  <si>
    <t>A70 - KOAJ BASIC LA VEGA C1</t>
  </si>
  <si>
    <t>A71 - KOAJ BASIC VENTAQUEMADA C1</t>
  </si>
  <si>
    <t>LA CASONA</t>
  </si>
  <si>
    <t>LA ESMERALDA</t>
  </si>
  <si>
    <t>SEXTA</t>
  </si>
  <si>
    <t>CAJICA</t>
  </si>
  <si>
    <t>A44 SILVANIA</t>
  </si>
  <si>
    <t>DIDO</t>
  </si>
  <si>
    <t>A89 SONSON</t>
  </si>
  <si>
    <t>B29 SOPO</t>
  </si>
  <si>
    <t>B33 PRADO VERANIEGO</t>
  </si>
  <si>
    <t>B80 GACHANCIPA</t>
  </si>
  <si>
    <t>D83 SAN FRANCISCO</t>
  </si>
  <si>
    <t>P03 CAJICA 3 LA GUACA1</t>
  </si>
  <si>
    <t>V10 VILLAPINZON</t>
  </si>
  <si>
    <t>V05 GUASCA</t>
  </si>
  <si>
    <t>V23 COGUA</t>
  </si>
  <si>
    <t>V34 CAJICA 2</t>
  </si>
  <si>
    <t>V49 NEMOCON</t>
  </si>
  <si>
    <t>32J ZIPAQUIRA 8</t>
  </si>
  <si>
    <t>Tiendas - LLAVES</t>
  </si>
  <si>
    <t>Enero</t>
  </si>
  <si>
    <t>Septiembre</t>
  </si>
  <si>
    <t>Febrero</t>
  </si>
  <si>
    <t>Marzo</t>
  </si>
  <si>
    <t>Abril</t>
  </si>
  <si>
    <t>Mayo</t>
  </si>
  <si>
    <t>Junio</t>
  </si>
  <si>
    <t>Julio</t>
  </si>
  <si>
    <t>Agosto</t>
  </si>
  <si>
    <t>Octubre</t>
  </si>
  <si>
    <t>Noviembre</t>
  </si>
  <si>
    <t>Diciembre</t>
  </si>
  <si>
    <t>Periodo Actual</t>
  </si>
  <si>
    <t>Comparativo</t>
  </si>
  <si>
    <t>mes</t>
  </si>
  <si>
    <t>ultimo dia</t>
  </si>
  <si>
    <t>primer 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</si>
</sst>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$&quot;\ #,##0;[Red]\-&quot;$&quot;\ #,##0"/>
    <numFmt numFmtId="165" formatCode="_-&quot;$&quot;\ * #,##0_-;\-&quot;$&quot;\ * #,##0_-;_-&quot;$&quot;\ * &quot;-&quot;_-;_-@_-"/>
    <numFmt numFmtId="166" formatCode="_-* #,##0_-;\-* #,##0_-;_-* &quot;-&quot;_-;_-@_-"/>
    <numFmt numFmtId="167" formatCode="_-&quot;$&quot;\ * #,##0.00_-;\-&quot;$&quot;\ * #,##0.00_-;_-&quot;$&quot;\ * &quot;-&quot;??_-;_-@_-"/>
    <numFmt numFmtId="168" formatCode="_-* #,##0.00_-;\-* #,##0.00_-;_-* &quot;-&quot;??_-;_-@_-"/>
    <numFmt numFmtId="169" formatCode="_-&quot;$&quot;* #,##0.00_-;\-&quot;$&quot;* #,##0.00_-;_-&quot;$&quot;* &quot;-&quot;??_-;_-@_-"/>
    <numFmt numFmtId="170" formatCode="#,##0_ ;\-#,##0\ "/>
    <numFmt numFmtId="171" formatCode="_-&quot;$&quot;* #,##0_-;\-&quot;$&quot;* #,##0_-;_-&quot;$&quot;* &quot;-&quot;_-;_-@_-"/>
    <numFmt numFmtId="172" formatCode="_-* #,##0.00\ _$_-;\-* #,##0.00\ _$_-;_-* &quot;-&quot;??\ _$_-;_-@_-"/>
    <numFmt numFmtId="173" formatCode="_-* #,##0.00\ &quot;€&quot;_-;\-* #,##0.00\ &quot;€&quot;_-;_-* &quot;-&quot;??\ &quot;€&quot;_-;_-@_-"/>
    <numFmt numFmtId="174" formatCode="_-&quot;$&quot;\ * #,##0_-;\-&quot;$&quot;\ * #,##0_-;_-&quot;$&quot;\ * &quot;-&quot;??_-;_-@_-"/>
    <numFmt numFmtId="175" formatCode="_(&quot;$&quot;\ * #,##0_);_(&quot;$&quot;\ * \(#,##0\);_(&quot;$&quot;\ * &quot;-&quot;??_);_(@_)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9"/>
      <name val="Calibri"/>
      <family val="2"/>
    </font>
    <font>
      <sz val="12"/>
      <color theme="0"/>
      <name val="Calibri"/>
      <family val="2"/>
    </font>
    <font>
      <sz val="11"/>
      <name val="Arial"/>
      <family val="1"/>
    </font>
    <font>
      <b/>
      <sz val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rgb="FFFFFF00"/>
      <name val="Calibri"/>
      <family val="2"/>
    </font>
    <font>
      <sz val="10"/>
      <color rgb="FFFFFF00"/>
      <name val="Calibri"/>
      <family val="2"/>
    </font>
    <font>
      <b/>
      <sz val="10"/>
      <color theme="1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sz val="10"/>
      <name val="Verdana   "/>
    </font>
    <font>
      <sz val="11"/>
      <color rgb="FF000000"/>
      <name val="Calibri"/>
      <family val="2"/>
    </font>
  </fonts>
  <fills count="5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/>
        <bgColor indexed="64"/>
      </patternFill>
    </fill>
  </fills>
  <borders count="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79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2" fillId="0" borderId="0"/>
    <xf numFmtId="0" fontId="15" fillId="0" borderId="0"/>
    <xf numFmtId="0" fontId="23" fillId="0" borderId="79" applyNumberFormat="0" applyFill="0" applyAlignment="0" applyProtection="0"/>
    <xf numFmtId="0" fontId="24" fillId="0" borderId="80" applyNumberFormat="0" applyFill="0" applyAlignment="0" applyProtection="0"/>
    <xf numFmtId="0" fontId="25" fillId="0" borderId="81" applyNumberFormat="0" applyFill="0" applyAlignment="0" applyProtection="0"/>
    <xf numFmtId="0" fontId="25" fillId="0" borderId="0" applyNumberFormat="0" applyFill="0" applyBorder="0" applyAlignment="0" applyProtection="0"/>
    <xf numFmtId="0" fontId="26" fillId="15" borderId="0" applyNumberFormat="0" applyBorder="0" applyAlignment="0" applyProtection="0"/>
    <xf numFmtId="0" fontId="27" fillId="16" borderId="0" applyNumberFormat="0" applyBorder="0" applyAlignment="0" applyProtection="0"/>
    <xf numFmtId="0" fontId="28" fillId="18" borderId="82" applyNumberFormat="0" applyAlignment="0" applyProtection="0"/>
    <xf numFmtId="0" fontId="29" fillId="19" borderId="83" applyNumberFormat="0" applyAlignment="0" applyProtection="0"/>
    <xf numFmtId="0" fontId="30" fillId="19" borderId="82" applyNumberFormat="0" applyAlignment="0" applyProtection="0"/>
    <xf numFmtId="0" fontId="31" fillId="0" borderId="84" applyNumberFormat="0" applyFill="0" applyAlignment="0" applyProtection="0"/>
    <xf numFmtId="0" fontId="2" fillId="20" borderId="85" applyNumberFormat="0" applyAlignment="0" applyProtection="0"/>
    <xf numFmtId="0" fontId="32" fillId="0" borderId="0" applyNumberFormat="0" applyFill="0" applyBorder="0" applyAlignment="0" applyProtection="0"/>
    <xf numFmtId="0" fontId="1" fillId="21" borderId="86" applyNumberFormat="0" applyFont="0" applyAlignment="0" applyProtection="0"/>
    <xf numFmtId="0" fontId="33" fillId="0" borderId="0" applyNumberFormat="0" applyFill="0" applyBorder="0" applyAlignment="0" applyProtection="0"/>
    <xf numFmtId="0" fontId="3" fillId="0" borderId="87" applyNumberFormat="0" applyFill="0" applyAlignment="0" applyProtection="0"/>
    <xf numFmtId="0" fontId="34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34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4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34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34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34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166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5" fillId="0" borderId="0"/>
    <xf numFmtId="172" fontId="36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2" fillId="0" borderId="0"/>
    <xf numFmtId="171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171" fontId="1" fillId="0" borderId="0" applyFont="0" applyFill="0" applyBorder="0" applyAlignment="0" applyProtection="0"/>
    <xf numFmtId="0" fontId="36" fillId="0" borderId="0"/>
    <xf numFmtId="0" fontId="36" fillId="0" borderId="0"/>
    <xf numFmtId="169" fontId="1" fillId="0" borderId="0" applyFont="0" applyFill="0" applyBorder="0" applyAlignment="0" applyProtection="0"/>
    <xf numFmtId="0" fontId="12" fillId="0" borderId="0"/>
    <xf numFmtId="167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" fillId="0" borderId="0"/>
    <xf numFmtId="166" fontId="1" fillId="0" borderId="0" applyFont="0" applyFill="0" applyBorder="0" applyAlignment="0" applyProtection="0"/>
    <xf numFmtId="0" fontId="35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6" fontId="1" fillId="0" borderId="0" applyFont="0" applyFill="0" applyBorder="0" applyAlignment="0" applyProtection="0"/>
    <xf numFmtId="171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9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169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71" fontId="1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17" borderId="0" applyNumberFormat="0" applyBorder="0" applyAlignment="0" applyProtection="0"/>
    <xf numFmtId="0" fontId="34" fillId="25" borderId="0" applyNumberFormat="0" applyBorder="0" applyAlignment="0" applyProtection="0"/>
    <xf numFmtId="0" fontId="34" fillId="29" borderId="0" applyNumberFormat="0" applyBorder="0" applyAlignment="0" applyProtection="0"/>
    <xf numFmtId="0" fontId="34" fillId="33" borderId="0" applyNumberFormat="0" applyBorder="0" applyAlignment="0" applyProtection="0"/>
    <xf numFmtId="0" fontId="34" fillId="37" borderId="0" applyNumberFormat="0" applyBorder="0" applyAlignment="0" applyProtection="0"/>
    <xf numFmtId="0" fontId="34" fillId="41" borderId="0" applyNumberFormat="0" applyBorder="0" applyAlignment="0" applyProtection="0"/>
    <xf numFmtId="0" fontId="34" fillId="45" borderId="0" applyNumberFormat="0" applyBorder="0" applyAlignment="0" applyProtection="0"/>
    <xf numFmtId="169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0" fontId="36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43" fillId="0" borderId="0" applyFont="0" applyFill="0" applyBorder="0" applyAlignment="0" applyProtection="0"/>
    <xf numFmtId="168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512">
    <xf numFmtId="0" fontId="0" fillId="0" borderId="0" xfId="0"/>
    <xf numFmtId="0" fontId="7" fillId="5" borderId="8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3" fontId="7" fillId="5" borderId="8" xfId="0" applyNumberFormat="1" applyFont="1" applyFill="1" applyBorder="1" applyAlignment="1">
      <alignment horizontal="center" vertical="center" wrapText="1"/>
    </xf>
    <xf numFmtId="165" fontId="7" fillId="5" borderId="9" xfId="1" applyFont="1" applyFill="1" applyBorder="1" applyAlignment="1">
      <alignment horizontal="center" vertical="center" wrapText="1"/>
    </xf>
    <xf numFmtId="3" fontId="7" fillId="5" borderId="9" xfId="1" applyNumberFormat="1" applyFont="1" applyFill="1" applyBorder="1" applyAlignment="1">
      <alignment horizontal="center" vertical="center" wrapText="1"/>
    </xf>
    <xf numFmtId="10" fontId="7" fillId="5" borderId="9" xfId="1" applyNumberFormat="1" applyFont="1" applyFill="1" applyBorder="1" applyAlignment="1">
      <alignment horizontal="center" vertical="center" wrapText="1"/>
    </xf>
    <xf numFmtId="165" fontId="2" fillId="2" borderId="9" xfId="1" applyFont="1" applyFill="1" applyBorder="1" applyAlignment="1">
      <alignment horizontal="center" vertical="center" wrapText="1"/>
    </xf>
    <xf numFmtId="165" fontId="7" fillId="5" borderId="10" xfId="1" applyFont="1" applyFill="1" applyBorder="1" applyAlignment="1">
      <alignment horizontal="center" vertical="center" wrapText="1"/>
    </xf>
    <xf numFmtId="10" fontId="7" fillId="5" borderId="11" xfId="1" applyNumberFormat="1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7" borderId="8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165" fontId="7" fillId="7" borderId="9" xfId="1" applyFont="1" applyFill="1" applyBorder="1" applyAlignment="1">
      <alignment horizontal="center" vertical="center" wrapText="1"/>
    </xf>
    <xf numFmtId="10" fontId="7" fillId="7" borderId="12" xfId="1" applyNumberFormat="1" applyFont="1" applyFill="1" applyBorder="1" applyAlignment="1">
      <alignment horizontal="center" vertical="center" wrapText="1"/>
    </xf>
    <xf numFmtId="2" fontId="7" fillId="5" borderId="6" xfId="1" applyNumberFormat="1" applyFont="1" applyFill="1" applyBorder="1" applyAlignment="1">
      <alignment horizontal="center" vertical="center" wrapText="1"/>
    </xf>
    <xf numFmtId="2" fontId="7" fillId="5" borderId="10" xfId="1" applyNumberFormat="1" applyFont="1" applyFill="1" applyBorder="1" applyAlignment="1">
      <alignment horizontal="center" vertical="center" wrapText="1"/>
    </xf>
    <xf numFmtId="2" fontId="7" fillId="5" borderId="12" xfId="1" applyNumberFormat="1" applyFont="1" applyFill="1" applyBorder="1" applyAlignment="1">
      <alignment horizontal="center" vertical="center" wrapText="1"/>
    </xf>
    <xf numFmtId="2" fontId="7" fillId="5" borderId="8" xfId="1" applyNumberFormat="1" applyFont="1" applyFill="1" applyBorder="1" applyAlignment="1">
      <alignment horizontal="center"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3" fontId="7" fillId="7" borderId="8" xfId="0" applyNumberFormat="1" applyFont="1" applyFill="1" applyBorder="1" applyAlignment="1">
      <alignment horizontal="center" vertical="center" wrapText="1"/>
    </xf>
    <xf numFmtId="165" fontId="3" fillId="7" borderId="9" xfId="0" applyNumberFormat="1" applyFont="1" applyFill="1" applyBorder="1" applyAlignment="1">
      <alignment horizontal="center" vertical="center" wrapText="1"/>
    </xf>
    <xf numFmtId="1" fontId="3" fillId="7" borderId="9" xfId="0" applyNumberFormat="1" applyFont="1" applyFill="1" applyBorder="1" applyAlignment="1">
      <alignment horizontal="center" vertical="center" wrapText="1"/>
    </xf>
    <xf numFmtId="1" fontId="8" fillId="2" borderId="10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165" fontId="7" fillId="5" borderId="9" xfId="1" applyFont="1" applyFill="1" applyBorder="1" applyAlignment="1">
      <alignment horizontal="center" vertical="center"/>
    </xf>
    <xf numFmtId="165" fontId="7" fillId="5" borderId="10" xfId="1" applyFont="1" applyFill="1" applyBorder="1" applyAlignment="1">
      <alignment horizontal="center" vertical="center"/>
    </xf>
    <xf numFmtId="165" fontId="7" fillId="5" borderId="8" xfId="1" applyFont="1" applyFill="1" applyBorder="1" applyAlignment="1">
      <alignment horizontal="center" vertical="center" wrapText="1"/>
    </xf>
    <xf numFmtId="165" fontId="7" fillId="5" borderId="12" xfId="1" applyFont="1" applyFill="1" applyBorder="1" applyAlignment="1">
      <alignment horizontal="center" vertical="center" wrapText="1"/>
    </xf>
    <xf numFmtId="0" fontId="7" fillId="9" borderId="21" xfId="0" applyFont="1" applyFill="1" applyBorder="1" applyAlignment="1">
      <alignment horizontal="center" vertical="center"/>
    </xf>
    <xf numFmtId="3" fontId="7" fillId="9" borderId="26" xfId="0" applyNumberFormat="1" applyFont="1" applyFill="1" applyBorder="1" applyAlignment="1">
      <alignment horizontal="center" vertical="center"/>
    </xf>
    <xf numFmtId="165" fontId="7" fillId="9" borderId="24" xfId="0" applyNumberFormat="1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13" fillId="0" borderId="0" xfId="4" applyFont="1"/>
    <xf numFmtId="0" fontId="13" fillId="0" borderId="0" xfId="5" applyFont="1"/>
    <xf numFmtId="0" fontId="13" fillId="0" borderId="4" xfId="4" applyFont="1" applyBorder="1"/>
    <xf numFmtId="0" fontId="13" fillId="0" borderId="3" xfId="4" applyFont="1" applyBorder="1"/>
    <xf numFmtId="0" fontId="16" fillId="0" borderId="41" xfId="4" applyFont="1" applyBorder="1" applyAlignment="1">
      <alignment horizontal="center"/>
    </xf>
    <xf numFmtId="0" fontId="16" fillId="0" borderId="42" xfId="4" applyFont="1" applyBorder="1" applyAlignment="1">
      <alignment horizontal="center"/>
    </xf>
    <xf numFmtId="0" fontId="13" fillId="0" borderId="2" xfId="4" applyFont="1" applyBorder="1" applyAlignment="1">
      <alignment horizontal="center"/>
    </xf>
    <xf numFmtId="0" fontId="13" fillId="0" borderId="0" xfId="4" applyFont="1" applyAlignment="1">
      <alignment horizontal="center"/>
    </xf>
    <xf numFmtId="10" fontId="13" fillId="0" borderId="0" xfId="4" applyNumberFormat="1" applyFont="1" applyAlignment="1">
      <alignment horizontal="center"/>
    </xf>
    <xf numFmtId="165" fontId="13" fillId="0" borderId="0" xfId="4" applyNumberFormat="1" applyFont="1" applyAlignment="1">
      <alignment horizontal="center"/>
    </xf>
    <xf numFmtId="165" fontId="13" fillId="0" borderId="0" xfId="4" applyNumberFormat="1" applyFont="1"/>
    <xf numFmtId="0" fontId="13" fillId="0" borderId="23" xfId="4" applyFont="1" applyBorder="1" applyAlignment="1">
      <alignment horizontal="center"/>
    </xf>
    <xf numFmtId="10" fontId="13" fillId="0" borderId="34" xfId="4" applyNumberFormat="1" applyFont="1" applyBorder="1" applyAlignment="1">
      <alignment horizontal="center"/>
    </xf>
    <xf numFmtId="0" fontId="13" fillId="6" borderId="0" xfId="4" applyFont="1" applyFill="1"/>
    <xf numFmtId="0" fontId="13" fillId="6" borderId="2" xfId="4" applyFont="1" applyFill="1" applyBorder="1" applyAlignment="1">
      <alignment horizontal="center"/>
    </xf>
    <xf numFmtId="0" fontId="13" fillId="6" borderId="0" xfId="4" applyFont="1" applyFill="1" applyAlignment="1">
      <alignment horizontal="center"/>
    </xf>
    <xf numFmtId="10" fontId="13" fillId="6" borderId="0" xfId="4" applyNumberFormat="1" applyFont="1" applyFill="1" applyAlignment="1">
      <alignment horizontal="center"/>
    </xf>
    <xf numFmtId="165" fontId="13" fillId="6" borderId="0" xfId="4" applyNumberFormat="1" applyFont="1" applyFill="1" applyAlignment="1">
      <alignment horizontal="center"/>
    </xf>
    <xf numFmtId="165" fontId="13" fillId="6" borderId="0" xfId="4" applyNumberFormat="1" applyFont="1" applyFill="1"/>
    <xf numFmtId="0" fontId="13" fillId="6" borderId="23" xfId="4" applyFont="1" applyFill="1" applyBorder="1" applyAlignment="1">
      <alignment horizontal="center"/>
    </xf>
    <xf numFmtId="10" fontId="13" fillId="6" borderId="34" xfId="4" applyNumberFormat="1" applyFont="1" applyFill="1" applyBorder="1" applyAlignment="1">
      <alignment horizontal="center"/>
    </xf>
    <xf numFmtId="0" fontId="16" fillId="3" borderId="8" xfId="4" applyFont="1" applyFill="1" applyBorder="1" applyAlignment="1">
      <alignment horizontal="center"/>
    </xf>
    <xf numFmtId="0" fontId="16" fillId="3" borderId="9" xfId="4" applyFont="1" applyFill="1" applyBorder="1" applyAlignment="1">
      <alignment horizontal="center"/>
    </xf>
    <xf numFmtId="10" fontId="16" fillId="3" borderId="9" xfId="4" applyNumberFormat="1" applyFont="1" applyFill="1" applyBorder="1" applyAlignment="1">
      <alignment horizontal="center"/>
    </xf>
    <xf numFmtId="165" fontId="16" fillId="3" borderId="9" xfId="4" applyNumberFormat="1" applyFont="1" applyFill="1" applyBorder="1"/>
    <xf numFmtId="10" fontId="16" fillId="3" borderId="10" xfId="4" applyNumberFormat="1" applyFont="1" applyFill="1" applyBorder="1" applyAlignment="1">
      <alignment horizontal="center"/>
    </xf>
    <xf numFmtId="2" fontId="16" fillId="3" borderId="8" xfId="4" applyNumberFormat="1" applyFont="1" applyFill="1" applyBorder="1" applyAlignment="1">
      <alignment horizontal="center"/>
    </xf>
    <xf numFmtId="2" fontId="16" fillId="3" borderId="9" xfId="4" applyNumberFormat="1" applyFont="1" applyFill="1" applyBorder="1" applyAlignment="1">
      <alignment horizontal="center"/>
    </xf>
    <xf numFmtId="10" fontId="16" fillId="3" borderId="11" xfId="4" applyNumberFormat="1" applyFont="1" applyFill="1" applyBorder="1" applyAlignment="1">
      <alignment horizontal="center"/>
    </xf>
    <xf numFmtId="0" fontId="13" fillId="0" borderId="0" xfId="5" applyFont="1" applyAlignment="1">
      <alignment horizontal="center"/>
    </xf>
    <xf numFmtId="10" fontId="13" fillId="0" borderId="0" xfId="5" applyNumberFormat="1" applyFont="1"/>
    <xf numFmtId="0" fontId="16" fillId="0" borderId="48" xfId="4" applyFont="1" applyBorder="1" applyAlignment="1">
      <alignment horizontal="center"/>
    </xf>
    <xf numFmtId="0" fontId="16" fillId="0" borderId="11" xfId="4" applyFont="1" applyBorder="1" applyAlignment="1">
      <alignment horizontal="center"/>
    </xf>
    <xf numFmtId="0" fontId="16" fillId="0" borderId="3" xfId="4" applyFont="1" applyBorder="1" applyAlignment="1">
      <alignment horizontal="center"/>
    </xf>
    <xf numFmtId="0" fontId="16" fillId="0" borderId="43" xfId="4" applyFont="1" applyBorder="1" applyAlignment="1">
      <alignment horizontal="center"/>
    </xf>
    <xf numFmtId="0" fontId="13" fillId="0" borderId="34" xfId="4" applyFont="1" applyBorder="1" applyAlignment="1">
      <alignment horizontal="center"/>
    </xf>
    <xf numFmtId="165" fontId="13" fillId="0" borderId="34" xfId="4" applyNumberFormat="1" applyFont="1" applyBorder="1" applyAlignment="1">
      <alignment horizontal="center"/>
    </xf>
    <xf numFmtId="10" fontId="13" fillId="0" borderId="23" xfId="4" applyNumberFormat="1" applyFont="1" applyBorder="1" applyAlignment="1">
      <alignment horizontal="center"/>
    </xf>
    <xf numFmtId="0" fontId="13" fillId="11" borderId="2" xfId="4" applyFont="1" applyFill="1" applyBorder="1" applyAlignment="1">
      <alignment horizontal="center"/>
    </xf>
    <xf numFmtId="0" fontId="13" fillId="11" borderId="34" xfId="4" applyFont="1" applyFill="1" applyBorder="1" applyAlignment="1">
      <alignment horizontal="center"/>
    </xf>
    <xf numFmtId="10" fontId="13" fillId="11" borderId="0" xfId="4" applyNumberFormat="1" applyFont="1" applyFill="1" applyAlignment="1">
      <alignment horizontal="center"/>
    </xf>
    <xf numFmtId="10" fontId="13" fillId="6" borderId="23" xfId="4" applyNumberFormat="1" applyFont="1" applyFill="1" applyBorder="1" applyAlignment="1">
      <alignment horizontal="center"/>
    </xf>
    <xf numFmtId="0" fontId="13" fillId="6" borderId="34" xfId="4" applyFont="1" applyFill="1" applyBorder="1" applyAlignment="1">
      <alignment horizontal="center"/>
    </xf>
    <xf numFmtId="165" fontId="13" fillId="0" borderId="34" xfId="4" applyNumberFormat="1" applyFont="1" applyBorder="1"/>
    <xf numFmtId="0" fontId="13" fillId="11" borderId="0" xfId="4" applyFont="1" applyFill="1"/>
    <xf numFmtId="10" fontId="13" fillId="11" borderId="23" xfId="4" applyNumberFormat="1" applyFont="1" applyFill="1" applyBorder="1" applyAlignment="1">
      <alignment horizontal="center"/>
    </xf>
    <xf numFmtId="165" fontId="13" fillId="11" borderId="0" xfId="4" applyNumberFormat="1" applyFont="1" applyFill="1" applyAlignment="1">
      <alignment horizontal="center"/>
    </xf>
    <xf numFmtId="165" fontId="13" fillId="11" borderId="34" xfId="4" applyNumberFormat="1" applyFont="1" applyFill="1" applyBorder="1"/>
    <xf numFmtId="0" fontId="13" fillId="11" borderId="23" xfId="4" applyFont="1" applyFill="1" applyBorder="1" applyAlignment="1">
      <alignment horizontal="center"/>
    </xf>
    <xf numFmtId="0" fontId="18" fillId="9" borderId="0" xfId="0" applyFont="1" applyFill="1" applyAlignment="1">
      <alignment horizontal="center"/>
    </xf>
    <xf numFmtId="49" fontId="19" fillId="9" borderId="11" xfId="0" applyNumberFormat="1" applyFont="1" applyFill="1" applyBorder="1" applyAlignment="1">
      <alignment horizontal="center" vertical="top" wrapText="1"/>
    </xf>
    <xf numFmtId="49" fontId="19" fillId="9" borderId="50" xfId="0" applyNumberFormat="1" applyFont="1" applyFill="1" applyBorder="1" applyAlignment="1">
      <alignment horizontal="center" vertical="top"/>
    </xf>
    <xf numFmtId="49" fontId="19" fillId="9" borderId="51" xfId="0" applyNumberFormat="1" applyFont="1" applyFill="1" applyBorder="1" applyAlignment="1">
      <alignment horizontal="center" vertical="top"/>
    </xf>
    <xf numFmtId="49" fontId="19" fillId="9" borderId="52" xfId="0" applyNumberFormat="1" applyFont="1" applyFill="1" applyBorder="1" applyAlignment="1">
      <alignment horizontal="center" vertical="top"/>
    </xf>
    <xf numFmtId="165" fontId="19" fillId="9" borderId="50" xfId="0" applyNumberFormat="1" applyFont="1" applyFill="1" applyBorder="1" applyAlignment="1">
      <alignment horizontal="center" vertical="top"/>
    </xf>
    <xf numFmtId="165" fontId="19" fillId="9" borderId="51" xfId="0" applyNumberFormat="1" applyFont="1" applyFill="1" applyBorder="1" applyAlignment="1">
      <alignment horizontal="center" vertical="top"/>
    </xf>
    <xf numFmtId="49" fontId="19" fillId="9" borderId="53" xfId="0" applyNumberFormat="1" applyFont="1" applyFill="1" applyBorder="1" applyAlignment="1">
      <alignment horizontal="center" vertical="top"/>
    </xf>
    <xf numFmtId="0" fontId="19" fillId="5" borderId="24" xfId="0" applyFont="1" applyFill="1" applyBorder="1" applyAlignment="1">
      <alignment horizontal="center"/>
    </xf>
    <xf numFmtId="49" fontId="19" fillId="9" borderId="34" xfId="0" applyNumberFormat="1" applyFont="1" applyFill="1" applyBorder="1" applyAlignment="1">
      <alignment horizontal="center" vertical="top"/>
    </xf>
    <xf numFmtId="0" fontId="18" fillId="9" borderId="54" xfId="0" applyFont="1" applyFill="1" applyBorder="1" applyAlignment="1">
      <alignment horizontal="center" vertical="top" wrapText="1"/>
    </xf>
    <xf numFmtId="0" fontId="18" fillId="9" borderId="55" xfId="0" applyFont="1" applyFill="1" applyBorder="1" applyAlignment="1">
      <alignment horizontal="center" vertical="top" wrapText="1"/>
    </xf>
    <xf numFmtId="10" fontId="18" fillId="9" borderId="56" xfId="0" applyNumberFormat="1" applyFont="1" applyFill="1" applyBorder="1" applyAlignment="1">
      <alignment horizontal="center" vertical="top" wrapText="1"/>
    </xf>
    <xf numFmtId="165" fontId="18" fillId="9" borderId="54" xfId="0" applyNumberFormat="1" applyFont="1" applyFill="1" applyBorder="1" applyAlignment="1">
      <alignment horizontal="center" vertical="top" wrapText="1"/>
    </xf>
    <xf numFmtId="165" fontId="18" fillId="9" borderId="55" xfId="0" applyNumberFormat="1" applyFont="1" applyFill="1" applyBorder="1" applyAlignment="1">
      <alignment horizontal="center" vertical="top" wrapText="1"/>
    </xf>
    <xf numFmtId="10" fontId="18" fillId="9" borderId="57" xfId="0" applyNumberFormat="1" applyFont="1" applyFill="1" applyBorder="1" applyAlignment="1">
      <alignment horizontal="center" vertical="top" wrapText="1"/>
    </xf>
    <xf numFmtId="10" fontId="18" fillId="5" borderId="28" xfId="0" applyNumberFormat="1" applyFont="1" applyFill="1" applyBorder="1" applyAlignment="1">
      <alignment horizontal="center"/>
    </xf>
    <xf numFmtId="49" fontId="19" fillId="6" borderId="11" xfId="0" applyNumberFormat="1" applyFont="1" applyFill="1" applyBorder="1" applyAlignment="1">
      <alignment horizontal="center" vertical="top"/>
    </xf>
    <xf numFmtId="0" fontId="18" fillId="6" borderId="50" xfId="0" applyFont="1" applyFill="1" applyBorder="1" applyAlignment="1">
      <alignment horizontal="center" vertical="top" wrapText="1"/>
    </xf>
    <xf numFmtId="0" fontId="18" fillId="6" borderId="51" xfId="0" applyFont="1" applyFill="1" applyBorder="1" applyAlignment="1">
      <alignment horizontal="center" vertical="top" wrapText="1"/>
    </xf>
    <xf numFmtId="10" fontId="18" fillId="6" borderId="52" xfId="0" applyNumberFormat="1" applyFont="1" applyFill="1" applyBorder="1" applyAlignment="1">
      <alignment horizontal="center" vertical="top" wrapText="1"/>
    </xf>
    <xf numFmtId="165" fontId="18" fillId="6" borderId="50" xfId="0" applyNumberFormat="1" applyFont="1" applyFill="1" applyBorder="1" applyAlignment="1">
      <alignment horizontal="center" vertical="top" wrapText="1"/>
    </xf>
    <xf numFmtId="165" fontId="18" fillId="6" borderId="51" xfId="0" applyNumberFormat="1" applyFont="1" applyFill="1" applyBorder="1" applyAlignment="1">
      <alignment horizontal="center" vertical="top" wrapText="1"/>
    </xf>
    <xf numFmtId="165" fontId="18" fillId="9" borderId="51" xfId="0" applyNumberFormat="1" applyFont="1" applyFill="1" applyBorder="1" applyAlignment="1">
      <alignment horizontal="center" vertical="top" wrapText="1"/>
    </xf>
    <xf numFmtId="10" fontId="18" fillId="6" borderId="53" xfId="0" applyNumberFormat="1" applyFont="1" applyFill="1" applyBorder="1" applyAlignment="1">
      <alignment horizontal="center" vertical="top" wrapText="1"/>
    </xf>
    <xf numFmtId="10" fontId="18" fillId="6" borderId="9" xfId="0" applyNumberFormat="1" applyFont="1" applyFill="1" applyBorder="1" applyAlignment="1">
      <alignment horizontal="center"/>
    </xf>
    <xf numFmtId="10" fontId="18" fillId="6" borderId="12" xfId="0" applyNumberFormat="1" applyFont="1" applyFill="1" applyBorder="1" applyAlignment="1">
      <alignment horizontal="center"/>
    </xf>
    <xf numFmtId="49" fontId="19" fillId="9" borderId="58" xfId="0" applyNumberFormat="1" applyFont="1" applyFill="1" applyBorder="1" applyAlignment="1">
      <alignment horizontal="center" vertical="top"/>
    </xf>
    <xf numFmtId="0" fontId="18" fillId="9" borderId="59" xfId="0" applyFont="1" applyFill="1" applyBorder="1" applyAlignment="1">
      <alignment horizontal="center" vertical="top" wrapText="1"/>
    </xf>
    <xf numFmtId="0" fontId="18" fillId="9" borderId="60" xfId="0" applyFont="1" applyFill="1" applyBorder="1" applyAlignment="1">
      <alignment horizontal="center" vertical="top" wrapText="1"/>
    </xf>
    <xf numFmtId="10" fontId="18" fillId="9" borderId="61" xfId="0" applyNumberFormat="1" applyFont="1" applyFill="1" applyBorder="1" applyAlignment="1">
      <alignment horizontal="center" vertical="top" wrapText="1"/>
    </xf>
    <xf numFmtId="165" fontId="18" fillId="9" borderId="59" xfId="0" applyNumberFormat="1" applyFont="1" applyFill="1" applyBorder="1" applyAlignment="1">
      <alignment horizontal="center" vertical="top" wrapText="1"/>
    </xf>
    <xf numFmtId="165" fontId="18" fillId="9" borderId="60" xfId="0" applyNumberFormat="1" applyFont="1" applyFill="1" applyBorder="1" applyAlignment="1">
      <alignment horizontal="center" vertical="top" wrapText="1"/>
    </xf>
    <xf numFmtId="10" fontId="18" fillId="9" borderId="62" xfId="0" applyNumberFormat="1" applyFont="1" applyFill="1" applyBorder="1" applyAlignment="1">
      <alignment horizontal="center" vertical="top" wrapText="1"/>
    </xf>
    <xf numFmtId="10" fontId="18" fillId="5" borderId="13" xfId="0" applyNumberFormat="1" applyFont="1" applyFill="1" applyBorder="1" applyAlignment="1">
      <alignment horizontal="center"/>
    </xf>
    <xf numFmtId="49" fontId="19" fillId="9" borderId="63" xfId="0" applyNumberFormat="1" applyFont="1" applyFill="1" applyBorder="1" applyAlignment="1">
      <alignment horizontal="center" vertical="top" wrapText="1"/>
    </xf>
    <xf numFmtId="0" fontId="18" fillId="9" borderId="64" xfId="0" applyFont="1" applyFill="1" applyBorder="1" applyAlignment="1">
      <alignment horizontal="center" vertical="top" wrapText="1"/>
    </xf>
    <xf numFmtId="0" fontId="18" fillId="9" borderId="65" xfId="0" applyFont="1" applyFill="1" applyBorder="1" applyAlignment="1">
      <alignment horizontal="center" vertical="top" wrapText="1"/>
    </xf>
    <xf numFmtId="10" fontId="18" fillId="9" borderId="66" xfId="0" applyNumberFormat="1" applyFont="1" applyFill="1" applyBorder="1" applyAlignment="1">
      <alignment horizontal="center" vertical="top" wrapText="1"/>
    </xf>
    <xf numFmtId="165" fontId="18" fillId="9" borderId="64" xfId="0" applyNumberFormat="1" applyFont="1" applyFill="1" applyBorder="1" applyAlignment="1">
      <alignment horizontal="center" vertical="top" wrapText="1"/>
    </xf>
    <xf numFmtId="165" fontId="18" fillId="9" borderId="65" xfId="0" applyNumberFormat="1" applyFont="1" applyFill="1" applyBorder="1" applyAlignment="1">
      <alignment horizontal="center" vertical="top" wrapText="1"/>
    </xf>
    <xf numFmtId="10" fontId="18" fillId="9" borderId="67" xfId="0" applyNumberFormat="1" applyFont="1" applyFill="1" applyBorder="1" applyAlignment="1">
      <alignment horizontal="center" vertical="top" wrapText="1"/>
    </xf>
    <xf numFmtId="10" fontId="18" fillId="5" borderId="24" xfId="0" applyNumberFormat="1" applyFont="1" applyFill="1" applyBorder="1" applyAlignment="1">
      <alignment horizontal="center"/>
    </xf>
    <xf numFmtId="49" fontId="19" fillId="9" borderId="68" xfId="0" applyNumberFormat="1" applyFont="1" applyFill="1" applyBorder="1" applyAlignment="1">
      <alignment horizontal="center" vertical="top" wrapText="1"/>
    </xf>
    <xf numFmtId="0" fontId="18" fillId="9" borderId="69" xfId="0" applyFont="1" applyFill="1" applyBorder="1" applyAlignment="1">
      <alignment horizontal="center" vertical="top" wrapText="1"/>
    </xf>
    <xf numFmtId="0" fontId="18" fillId="9" borderId="70" xfId="0" applyFont="1" applyFill="1" applyBorder="1" applyAlignment="1">
      <alignment horizontal="center" vertical="top" wrapText="1"/>
    </xf>
    <xf numFmtId="10" fontId="18" fillId="9" borderId="71" xfId="0" applyNumberFormat="1" applyFont="1" applyFill="1" applyBorder="1" applyAlignment="1">
      <alignment horizontal="center" vertical="top" wrapText="1"/>
    </xf>
    <xf numFmtId="165" fontId="18" fillId="9" borderId="69" xfId="0" applyNumberFormat="1" applyFont="1" applyFill="1" applyBorder="1" applyAlignment="1">
      <alignment horizontal="center" vertical="top" wrapText="1"/>
    </xf>
    <xf numFmtId="165" fontId="18" fillId="9" borderId="70" xfId="0" applyNumberFormat="1" applyFont="1" applyFill="1" applyBorder="1" applyAlignment="1">
      <alignment horizontal="center" vertical="top" wrapText="1"/>
    </xf>
    <xf numFmtId="10" fontId="18" fillId="9" borderId="72" xfId="0" applyNumberFormat="1" applyFont="1" applyFill="1" applyBorder="1" applyAlignment="1">
      <alignment horizontal="center" vertical="top" wrapText="1"/>
    </xf>
    <xf numFmtId="49" fontId="19" fillId="6" borderId="11" xfId="0" applyNumberFormat="1" applyFont="1" applyFill="1" applyBorder="1" applyAlignment="1">
      <alignment horizontal="center" vertical="top" wrapText="1"/>
    </xf>
    <xf numFmtId="49" fontId="19" fillId="9" borderId="34" xfId="0" applyNumberFormat="1" applyFont="1" applyFill="1" applyBorder="1" applyAlignment="1">
      <alignment horizontal="center" vertical="top" wrapText="1"/>
    </xf>
    <xf numFmtId="10" fontId="18" fillId="5" borderId="32" xfId="0" applyNumberFormat="1" applyFont="1" applyFill="1" applyBorder="1" applyAlignment="1">
      <alignment horizontal="center"/>
    </xf>
    <xf numFmtId="49" fontId="19" fillId="9" borderId="58" xfId="0" applyNumberFormat="1" applyFont="1" applyFill="1" applyBorder="1" applyAlignment="1">
      <alignment horizontal="center" vertical="top" wrapText="1"/>
    </xf>
    <xf numFmtId="49" fontId="19" fillId="9" borderId="68" xfId="0" applyNumberFormat="1" applyFont="1" applyFill="1" applyBorder="1" applyAlignment="1">
      <alignment horizontal="center" vertical="top"/>
    </xf>
    <xf numFmtId="49" fontId="19" fillId="4" borderId="11" xfId="0" applyNumberFormat="1" applyFont="1" applyFill="1" applyBorder="1" applyAlignment="1">
      <alignment horizontal="center" vertical="top" wrapText="1"/>
    </xf>
    <xf numFmtId="0" fontId="19" fillId="4" borderId="50" xfId="0" applyFont="1" applyFill="1" applyBorder="1" applyAlignment="1">
      <alignment horizontal="center" vertical="top" wrapText="1"/>
    </xf>
    <xf numFmtId="10" fontId="19" fillId="4" borderId="52" xfId="0" applyNumberFormat="1" applyFont="1" applyFill="1" applyBorder="1" applyAlignment="1">
      <alignment horizontal="center" vertical="top" wrapText="1"/>
    </xf>
    <xf numFmtId="165" fontId="19" fillId="4" borderId="50" xfId="0" applyNumberFormat="1" applyFont="1" applyFill="1" applyBorder="1" applyAlignment="1">
      <alignment horizontal="center" vertical="top" wrapText="1"/>
    </xf>
    <xf numFmtId="165" fontId="19" fillId="4" borderId="51" xfId="0" applyNumberFormat="1" applyFont="1" applyFill="1" applyBorder="1" applyAlignment="1">
      <alignment horizontal="center" vertical="top" wrapText="1"/>
    </xf>
    <xf numFmtId="165" fontId="19" fillId="4" borderId="51" xfId="0" applyNumberFormat="1" applyFont="1" applyFill="1" applyBorder="1" applyAlignment="1">
      <alignment horizontal="center" vertical="top"/>
    </xf>
    <xf numFmtId="10" fontId="19" fillId="4" borderId="53" xfId="0" applyNumberFormat="1" applyFont="1" applyFill="1" applyBorder="1" applyAlignment="1">
      <alignment horizontal="center" vertical="top" wrapText="1"/>
    </xf>
    <xf numFmtId="10" fontId="19" fillId="4" borderId="9" xfId="0" applyNumberFormat="1" applyFont="1" applyFill="1" applyBorder="1" applyAlignment="1">
      <alignment horizontal="center"/>
    </xf>
    <xf numFmtId="10" fontId="19" fillId="4" borderId="12" xfId="0" applyNumberFormat="1" applyFont="1" applyFill="1" applyBorder="1" applyAlignment="1">
      <alignment horizontal="center"/>
    </xf>
    <xf numFmtId="49" fontId="19" fillId="9" borderId="0" xfId="0" applyNumberFormat="1" applyFont="1" applyFill="1" applyAlignment="1">
      <alignment horizontal="center" vertical="top" wrapText="1"/>
    </xf>
    <xf numFmtId="0" fontId="19" fillId="9" borderId="0" xfId="0" applyFont="1" applyFill="1" applyAlignment="1">
      <alignment horizontal="center" vertical="top" wrapText="1"/>
    </xf>
    <xf numFmtId="10" fontId="19" fillId="9" borderId="0" xfId="0" applyNumberFormat="1" applyFont="1" applyFill="1" applyAlignment="1">
      <alignment horizontal="center" vertical="top" wrapText="1"/>
    </xf>
    <xf numFmtId="165" fontId="19" fillId="9" borderId="0" xfId="0" applyNumberFormat="1" applyFont="1" applyFill="1" applyAlignment="1">
      <alignment horizontal="center" vertical="top" wrapText="1"/>
    </xf>
    <xf numFmtId="165" fontId="19" fillId="9" borderId="0" xfId="0" applyNumberFormat="1" applyFont="1" applyFill="1" applyAlignment="1">
      <alignment horizontal="center" vertical="top"/>
    </xf>
    <xf numFmtId="10" fontId="19" fillId="9" borderId="0" xfId="0" applyNumberFormat="1" applyFont="1" applyFill="1" applyAlignment="1">
      <alignment horizontal="center"/>
    </xf>
    <xf numFmtId="49" fontId="20" fillId="2" borderId="44" xfId="0" applyNumberFormat="1" applyFont="1" applyFill="1" applyBorder="1" applyAlignment="1">
      <alignment horizontal="center" vertical="top" wrapText="1"/>
    </xf>
    <xf numFmtId="0" fontId="20" fillId="2" borderId="45" xfId="0" applyFont="1" applyFill="1" applyBorder="1" applyAlignment="1">
      <alignment horizontal="center" vertical="top" wrapText="1"/>
    </xf>
    <xf numFmtId="0" fontId="21" fillId="2" borderId="45" xfId="0" applyFont="1" applyFill="1" applyBorder="1" applyAlignment="1">
      <alignment horizontal="center" vertical="top" wrapText="1"/>
    </xf>
    <xf numFmtId="10" fontId="21" fillId="2" borderId="45" xfId="0" applyNumberFormat="1" applyFont="1" applyFill="1" applyBorder="1" applyAlignment="1">
      <alignment horizontal="center" vertical="top" wrapText="1"/>
    </xf>
    <xf numFmtId="165" fontId="20" fillId="2" borderId="45" xfId="0" applyNumberFormat="1" applyFont="1" applyFill="1" applyBorder="1" applyAlignment="1">
      <alignment horizontal="center" vertical="top" wrapText="1"/>
    </xf>
    <xf numFmtId="165" fontId="21" fillId="2" borderId="45" xfId="0" applyNumberFormat="1" applyFont="1" applyFill="1" applyBorder="1" applyAlignment="1">
      <alignment horizontal="center" vertical="top" wrapText="1"/>
    </xf>
    <xf numFmtId="10" fontId="21" fillId="2" borderId="45" xfId="0" applyNumberFormat="1" applyFont="1" applyFill="1" applyBorder="1" applyAlignment="1">
      <alignment horizontal="center"/>
    </xf>
    <xf numFmtId="10" fontId="21" fillId="2" borderId="46" xfId="0" applyNumberFormat="1" applyFont="1" applyFill="1" applyBorder="1" applyAlignment="1">
      <alignment horizontal="center"/>
    </xf>
    <xf numFmtId="49" fontId="19" fillId="12" borderId="26" xfId="0" applyNumberFormat="1" applyFont="1" applyFill="1" applyBorder="1" applyAlignment="1">
      <alignment horizontal="center" vertical="top" wrapText="1"/>
    </xf>
    <xf numFmtId="0" fontId="19" fillId="12" borderId="24" xfId="0" applyFont="1" applyFill="1" applyBorder="1" applyAlignment="1">
      <alignment horizontal="center" vertical="top" wrapText="1"/>
    </xf>
    <xf numFmtId="0" fontId="18" fillId="12" borderId="24" xfId="0" applyFont="1" applyFill="1" applyBorder="1" applyAlignment="1">
      <alignment horizontal="center" vertical="top" wrapText="1"/>
    </xf>
    <xf numFmtId="10" fontId="18" fillId="12" borderId="24" xfId="0" applyNumberFormat="1" applyFont="1" applyFill="1" applyBorder="1" applyAlignment="1">
      <alignment horizontal="center" vertical="top" wrapText="1"/>
    </xf>
    <xf numFmtId="165" fontId="19" fillId="12" borderId="24" xfId="0" applyNumberFormat="1" applyFont="1" applyFill="1" applyBorder="1" applyAlignment="1">
      <alignment horizontal="center" vertical="top" wrapText="1"/>
    </xf>
    <xf numFmtId="165" fontId="18" fillId="12" borderId="24" xfId="0" applyNumberFormat="1" applyFont="1" applyFill="1" applyBorder="1" applyAlignment="1">
      <alignment horizontal="center" vertical="top" wrapText="1"/>
    </xf>
    <xf numFmtId="10" fontId="18" fillId="12" borderId="24" xfId="0" applyNumberFormat="1" applyFont="1" applyFill="1" applyBorder="1" applyAlignment="1">
      <alignment horizontal="center"/>
    </xf>
    <xf numFmtId="10" fontId="18" fillId="12" borderId="27" xfId="0" applyNumberFormat="1" applyFont="1" applyFill="1" applyBorder="1" applyAlignment="1">
      <alignment horizontal="center"/>
    </xf>
    <xf numFmtId="49" fontId="19" fillId="13" borderId="41" xfId="0" applyNumberFormat="1" applyFont="1" applyFill="1" applyBorder="1" applyAlignment="1">
      <alignment horizontal="center" vertical="top" wrapText="1"/>
    </xf>
    <xf numFmtId="0" fontId="19" fillId="13" borderId="42" xfId="0" applyFont="1" applyFill="1" applyBorder="1" applyAlignment="1">
      <alignment horizontal="center" vertical="top" wrapText="1"/>
    </xf>
    <xf numFmtId="0" fontId="18" fillId="13" borderId="42" xfId="0" applyFont="1" applyFill="1" applyBorder="1" applyAlignment="1">
      <alignment horizontal="center" vertical="top" wrapText="1"/>
    </xf>
    <xf numFmtId="10" fontId="18" fillId="13" borderId="42" xfId="0" applyNumberFormat="1" applyFont="1" applyFill="1" applyBorder="1" applyAlignment="1">
      <alignment horizontal="center" vertical="top" wrapText="1"/>
    </xf>
    <xf numFmtId="165" fontId="19" fillId="13" borderId="42" xfId="0" applyNumberFormat="1" applyFont="1" applyFill="1" applyBorder="1" applyAlignment="1">
      <alignment horizontal="center" vertical="top" wrapText="1"/>
    </xf>
    <xf numFmtId="165" fontId="18" fillId="13" borderId="42" xfId="0" applyNumberFormat="1" applyFont="1" applyFill="1" applyBorder="1" applyAlignment="1">
      <alignment horizontal="center" vertical="top" wrapText="1"/>
    </xf>
    <xf numFmtId="10" fontId="18" fillId="13" borderId="42" xfId="0" applyNumberFormat="1" applyFont="1" applyFill="1" applyBorder="1" applyAlignment="1">
      <alignment horizontal="center"/>
    </xf>
    <xf numFmtId="10" fontId="18" fillId="13" borderId="40" xfId="0" applyNumberFormat="1" applyFont="1" applyFill="1" applyBorder="1" applyAlignment="1">
      <alignment horizontal="center"/>
    </xf>
    <xf numFmtId="49" fontId="19" fillId="13" borderId="48" xfId="0" applyNumberFormat="1" applyFont="1" applyFill="1" applyBorder="1" applyAlignment="1">
      <alignment horizontal="center" vertical="top" wrapText="1"/>
    </xf>
    <xf numFmtId="0" fontId="19" fillId="13" borderId="3" xfId="0" applyFont="1" applyFill="1" applyBorder="1" applyAlignment="1">
      <alignment horizontal="center" vertical="top" wrapText="1"/>
    </xf>
    <xf numFmtId="0" fontId="18" fillId="13" borderId="3" xfId="0" applyFont="1" applyFill="1" applyBorder="1" applyAlignment="1">
      <alignment horizontal="center" vertical="top" wrapText="1"/>
    </xf>
    <xf numFmtId="10" fontId="18" fillId="13" borderId="3" xfId="0" applyNumberFormat="1" applyFont="1" applyFill="1" applyBorder="1" applyAlignment="1">
      <alignment horizontal="center" vertical="top" wrapText="1"/>
    </xf>
    <xf numFmtId="165" fontId="19" fillId="13" borderId="3" xfId="0" applyNumberFormat="1" applyFont="1" applyFill="1" applyBorder="1" applyAlignment="1">
      <alignment horizontal="center" vertical="top" wrapText="1"/>
    </xf>
    <xf numFmtId="165" fontId="18" fillId="13" borderId="3" xfId="0" applyNumberFormat="1" applyFont="1" applyFill="1" applyBorder="1" applyAlignment="1">
      <alignment horizontal="center" vertical="top" wrapText="1"/>
    </xf>
    <xf numFmtId="10" fontId="18" fillId="13" borderId="3" xfId="0" applyNumberFormat="1" applyFont="1" applyFill="1" applyBorder="1" applyAlignment="1">
      <alignment horizontal="center"/>
    </xf>
    <xf numFmtId="10" fontId="18" fillId="13" borderId="43" xfId="0" applyNumberFormat="1" applyFont="1" applyFill="1" applyBorder="1" applyAlignment="1">
      <alignment horizontal="center"/>
    </xf>
    <xf numFmtId="3" fontId="18" fillId="9" borderId="54" xfId="0" applyNumberFormat="1" applyFont="1" applyFill="1" applyBorder="1" applyAlignment="1">
      <alignment horizontal="center" vertical="top" wrapText="1"/>
    </xf>
    <xf numFmtId="3" fontId="18" fillId="9" borderId="55" xfId="0" applyNumberFormat="1" applyFont="1" applyFill="1" applyBorder="1" applyAlignment="1">
      <alignment horizontal="center" vertical="top" wrapText="1"/>
    </xf>
    <xf numFmtId="3" fontId="18" fillId="9" borderId="59" xfId="0" applyNumberFormat="1" applyFont="1" applyFill="1" applyBorder="1" applyAlignment="1">
      <alignment horizontal="center" vertical="top" wrapText="1"/>
    </xf>
    <xf numFmtId="3" fontId="18" fillId="9" borderId="60" xfId="0" applyNumberFormat="1" applyFont="1" applyFill="1" applyBorder="1" applyAlignment="1">
      <alignment horizontal="center" vertical="top" wrapText="1"/>
    </xf>
    <xf numFmtId="3" fontId="18" fillId="9" borderId="69" xfId="0" applyNumberFormat="1" applyFont="1" applyFill="1" applyBorder="1" applyAlignment="1">
      <alignment horizontal="center" vertical="top" wrapText="1"/>
    </xf>
    <xf numFmtId="3" fontId="18" fillId="9" borderId="70" xfId="0" applyNumberFormat="1" applyFont="1" applyFill="1" applyBorder="1" applyAlignment="1">
      <alignment horizontal="center" vertical="top" wrapText="1"/>
    </xf>
    <xf numFmtId="165" fontId="18" fillId="9" borderId="0" xfId="0" applyNumberFormat="1" applyFont="1" applyFill="1" applyAlignment="1">
      <alignment horizontal="center"/>
    </xf>
    <xf numFmtId="3" fontId="20" fillId="2" borderId="45" xfId="0" applyNumberFormat="1" applyFont="1" applyFill="1" applyBorder="1" applyAlignment="1">
      <alignment horizontal="center" vertical="top" wrapText="1"/>
    </xf>
    <xf numFmtId="10" fontId="20" fillId="2" borderId="45" xfId="0" applyNumberFormat="1" applyFont="1" applyFill="1" applyBorder="1" applyAlignment="1">
      <alignment horizontal="center" vertical="top" wrapText="1"/>
    </xf>
    <xf numFmtId="10" fontId="20" fillId="2" borderId="78" xfId="0" applyNumberFormat="1" applyFont="1" applyFill="1" applyBorder="1" applyAlignment="1">
      <alignment horizontal="center"/>
    </xf>
    <xf numFmtId="10" fontId="20" fillId="2" borderId="46" xfId="0" applyNumberFormat="1" applyFont="1" applyFill="1" applyBorder="1" applyAlignment="1">
      <alignment horizontal="center"/>
    </xf>
    <xf numFmtId="49" fontId="22" fillId="14" borderId="26" xfId="0" applyNumberFormat="1" applyFont="1" applyFill="1" applyBorder="1" applyAlignment="1">
      <alignment horizontal="center" vertical="top" wrapText="1"/>
    </xf>
    <xf numFmtId="3" fontId="22" fillId="14" borderId="24" xfId="0" applyNumberFormat="1" applyFont="1" applyFill="1" applyBorder="1" applyAlignment="1">
      <alignment horizontal="center" vertical="top" wrapText="1"/>
    </xf>
    <xf numFmtId="10" fontId="22" fillId="14" borderId="24" xfId="0" applyNumberFormat="1" applyFont="1" applyFill="1" applyBorder="1" applyAlignment="1">
      <alignment horizontal="center" vertical="top" wrapText="1"/>
    </xf>
    <xf numFmtId="165" fontId="22" fillId="14" borderId="24" xfId="0" applyNumberFormat="1" applyFont="1" applyFill="1" applyBorder="1" applyAlignment="1">
      <alignment horizontal="center" vertical="top" wrapText="1"/>
    </xf>
    <xf numFmtId="10" fontId="22" fillId="14" borderId="28" xfId="0" applyNumberFormat="1" applyFont="1" applyFill="1" applyBorder="1" applyAlignment="1">
      <alignment horizontal="center"/>
    </xf>
    <xf numFmtId="10" fontId="22" fillId="14" borderId="27" xfId="0" applyNumberFormat="1" applyFont="1" applyFill="1" applyBorder="1" applyAlignment="1">
      <alignment horizontal="center"/>
    </xf>
    <xf numFmtId="0" fontId="40" fillId="9" borderId="0" xfId="0" applyFont="1" applyFill="1" applyAlignment="1">
      <alignment horizontal="center" vertical="center"/>
    </xf>
    <xf numFmtId="0" fontId="39" fillId="5" borderId="13" xfId="0" applyFont="1" applyFill="1" applyBorder="1" applyAlignment="1">
      <alignment horizontal="center" vertical="center"/>
    </xf>
    <xf numFmtId="49" fontId="39" fillId="9" borderId="77" xfId="0" applyNumberFormat="1" applyFont="1" applyFill="1" applyBorder="1" applyAlignment="1">
      <alignment horizontal="center" vertical="center"/>
    </xf>
    <xf numFmtId="165" fontId="39" fillId="9" borderId="75" xfId="0" applyNumberFormat="1" applyFont="1" applyFill="1" applyBorder="1" applyAlignment="1">
      <alignment horizontal="center" vertical="center"/>
    </xf>
    <xf numFmtId="165" fontId="39" fillId="9" borderId="74" xfId="0" applyNumberFormat="1" applyFont="1" applyFill="1" applyBorder="1" applyAlignment="1">
      <alignment horizontal="center" vertical="center"/>
    </xf>
    <xf numFmtId="49" fontId="39" fillId="9" borderId="76" xfId="0" applyNumberFormat="1" applyFont="1" applyFill="1" applyBorder="1" applyAlignment="1">
      <alignment horizontal="center" vertical="center"/>
    </xf>
    <xf numFmtId="49" fontId="39" fillId="9" borderId="75" xfId="0" applyNumberFormat="1" applyFont="1" applyFill="1" applyBorder="1" applyAlignment="1">
      <alignment horizontal="center" vertical="center"/>
    </xf>
    <xf numFmtId="49" fontId="39" fillId="9" borderId="74" xfId="0" applyNumberFormat="1" applyFont="1" applyFill="1" applyBorder="1" applyAlignment="1">
      <alignment horizontal="center" vertical="center"/>
    </xf>
    <xf numFmtId="49" fontId="39" fillId="9" borderId="73" xfId="0" applyNumberFormat="1" applyFont="1" applyFill="1" applyBorder="1" applyAlignment="1">
      <alignment horizontal="center" vertical="center" wrapText="1"/>
    </xf>
    <xf numFmtId="3" fontId="13" fillId="0" borderId="2" xfId="4" applyNumberFormat="1" applyFont="1" applyBorder="1" applyAlignment="1">
      <alignment horizontal="center"/>
    </xf>
    <xf numFmtId="3" fontId="13" fillId="0" borderId="34" xfId="4" applyNumberFormat="1" applyFont="1" applyBorder="1" applyAlignment="1">
      <alignment horizontal="center"/>
    </xf>
    <xf numFmtId="3" fontId="13" fillId="11" borderId="2" xfId="4" applyNumberFormat="1" applyFont="1" applyFill="1" applyBorder="1" applyAlignment="1">
      <alignment horizontal="center"/>
    </xf>
    <xf numFmtId="3" fontId="13" fillId="11" borderId="34" xfId="4" applyNumberFormat="1" applyFont="1" applyFill="1" applyBorder="1" applyAlignment="1">
      <alignment horizontal="center"/>
    </xf>
    <xf numFmtId="165" fontId="13" fillId="11" borderId="34" xfId="4" applyNumberFormat="1" applyFont="1" applyFill="1" applyBorder="1" applyAlignment="1">
      <alignment horizontal="center"/>
    </xf>
    <xf numFmtId="165" fontId="40" fillId="9" borderId="0" xfId="0" applyNumberFormat="1" applyFont="1" applyFill="1" applyAlignment="1">
      <alignment horizontal="center" vertical="center"/>
    </xf>
    <xf numFmtId="0" fontId="40" fillId="9" borderId="8" xfId="0" applyFont="1" applyFill="1" applyBorder="1" applyAlignment="1">
      <alignment horizontal="center" vertical="center"/>
    </xf>
    <xf numFmtId="0" fontId="40" fillId="9" borderId="12" xfId="0" applyFont="1" applyFill="1" applyBorder="1" applyAlignment="1">
      <alignment horizontal="center" vertical="center"/>
    </xf>
    <xf numFmtId="3" fontId="18" fillId="9" borderId="24" xfId="0" applyNumberFormat="1" applyFont="1" applyFill="1" applyBorder="1" applyAlignment="1">
      <alignment horizontal="center"/>
    </xf>
    <xf numFmtId="3" fontId="18" fillId="9" borderId="26" xfId="0" applyNumberFormat="1" applyFont="1" applyFill="1" applyBorder="1" applyAlignment="1">
      <alignment horizontal="center"/>
    </xf>
    <xf numFmtId="174" fontId="18" fillId="9" borderId="27" xfId="290" applyNumberFormat="1" applyFont="1" applyFill="1" applyBorder="1" applyAlignment="1">
      <alignment horizontal="center"/>
    </xf>
    <xf numFmtId="3" fontId="18" fillId="9" borderId="16" xfId="0" applyNumberFormat="1" applyFont="1" applyFill="1" applyBorder="1" applyAlignment="1">
      <alignment horizontal="center"/>
    </xf>
    <xf numFmtId="174" fontId="18" fillId="9" borderId="22" xfId="290" applyNumberFormat="1" applyFont="1" applyFill="1" applyBorder="1" applyAlignment="1">
      <alignment horizontal="center"/>
    </xf>
    <xf numFmtId="3" fontId="18" fillId="9" borderId="31" xfId="0" applyNumberFormat="1" applyFont="1" applyFill="1" applyBorder="1" applyAlignment="1">
      <alignment horizontal="center"/>
    </xf>
    <xf numFmtId="174" fontId="18" fillId="9" borderId="38" xfId="290" applyNumberFormat="1" applyFont="1" applyFill="1" applyBorder="1" applyAlignment="1">
      <alignment horizontal="center"/>
    </xf>
    <xf numFmtId="3" fontId="18" fillId="9" borderId="64" xfId="0" applyNumberFormat="1" applyFont="1" applyFill="1" applyBorder="1" applyAlignment="1">
      <alignment horizontal="center" vertical="top" wrapText="1"/>
    </xf>
    <xf numFmtId="3" fontId="18" fillId="9" borderId="28" xfId="0" applyNumberFormat="1" applyFont="1" applyFill="1" applyBorder="1" applyAlignment="1">
      <alignment horizontal="center"/>
    </xf>
    <xf numFmtId="3" fontId="18" fillId="9" borderId="13" xfId="0" applyNumberFormat="1" applyFont="1" applyFill="1" applyBorder="1" applyAlignment="1">
      <alignment horizontal="center"/>
    </xf>
    <xf numFmtId="3" fontId="18" fillId="9" borderId="14" xfId="0" applyNumberFormat="1" applyFont="1" applyFill="1" applyBorder="1" applyAlignment="1">
      <alignment horizontal="center"/>
    </xf>
    <xf numFmtId="3" fontId="19" fillId="4" borderId="9" xfId="0" applyNumberFormat="1" applyFont="1" applyFill="1" applyBorder="1" applyAlignment="1">
      <alignment horizontal="center"/>
    </xf>
    <xf numFmtId="0" fontId="40" fillId="9" borderId="9" xfId="0" applyFont="1" applyFill="1" applyBorder="1" applyAlignment="1">
      <alignment horizontal="center" vertical="center"/>
    </xf>
    <xf numFmtId="3" fontId="18" fillId="9" borderId="9" xfId="0" applyNumberFormat="1" applyFont="1" applyFill="1" applyBorder="1" applyAlignment="1">
      <alignment horizontal="center"/>
    </xf>
    <xf numFmtId="0" fontId="40" fillId="9" borderId="10" xfId="0" applyFont="1" applyFill="1" applyBorder="1" applyAlignment="1">
      <alignment horizontal="center" vertical="center"/>
    </xf>
    <xf numFmtId="0" fontId="40" fillId="9" borderId="39" xfId="0" applyFont="1" applyFill="1" applyBorder="1" applyAlignment="1">
      <alignment horizontal="center" vertical="center"/>
    </xf>
    <xf numFmtId="174" fontId="18" fillId="9" borderId="19" xfId="290" applyNumberFormat="1" applyFont="1" applyFill="1" applyBorder="1" applyAlignment="1">
      <alignment horizontal="center"/>
    </xf>
    <xf numFmtId="174" fontId="18" fillId="9" borderId="20" xfId="290" applyNumberFormat="1" applyFont="1" applyFill="1" applyBorder="1" applyAlignment="1">
      <alignment horizontal="center"/>
    </xf>
    <xf numFmtId="174" fontId="18" fillId="9" borderId="37" xfId="290" applyNumberFormat="1" applyFont="1" applyFill="1" applyBorder="1" applyAlignment="1">
      <alignment horizontal="center"/>
    </xf>
    <xf numFmtId="174" fontId="19" fillId="4" borderId="39" xfId="290" applyNumberFormat="1" applyFont="1" applyFill="1" applyBorder="1" applyAlignment="1">
      <alignment horizontal="center"/>
    </xf>
    <xf numFmtId="0" fontId="40" fillId="9" borderId="11" xfId="0" applyFont="1" applyFill="1" applyBorder="1" applyAlignment="1">
      <alignment horizontal="center" vertical="center"/>
    </xf>
    <xf numFmtId="174" fontId="18" fillId="9" borderId="11" xfId="290" applyNumberFormat="1" applyFont="1" applyFill="1" applyBorder="1" applyAlignment="1">
      <alignment horizontal="center"/>
    </xf>
    <xf numFmtId="174" fontId="18" fillId="9" borderId="17" xfId="290" applyNumberFormat="1" applyFont="1" applyFill="1" applyBorder="1" applyAlignment="1">
      <alignment horizontal="center"/>
    </xf>
    <xf numFmtId="174" fontId="18" fillId="9" borderId="88" xfId="290" applyNumberFormat="1" applyFont="1" applyFill="1" applyBorder="1" applyAlignment="1">
      <alignment horizontal="center"/>
    </xf>
    <xf numFmtId="174" fontId="18" fillId="9" borderId="89" xfId="290" applyNumberFormat="1" applyFont="1" applyFill="1" applyBorder="1" applyAlignment="1">
      <alignment horizontal="center"/>
    </xf>
    <xf numFmtId="174" fontId="19" fillId="4" borderId="11" xfId="290" applyNumberFormat="1" applyFont="1" applyFill="1" applyBorder="1" applyAlignment="1">
      <alignment horizontal="center"/>
    </xf>
    <xf numFmtId="174" fontId="18" fillId="4" borderId="12" xfId="290" applyNumberFormat="1" applyFont="1" applyFill="1" applyBorder="1" applyAlignment="1">
      <alignment horizontal="center"/>
    </xf>
    <xf numFmtId="174" fontId="18" fillId="9" borderId="12" xfId="290" applyNumberFormat="1" applyFont="1" applyFill="1" applyBorder="1" applyAlignment="1">
      <alignment horizontal="center"/>
    </xf>
    <xf numFmtId="3" fontId="18" fillId="4" borderId="8" xfId="0" applyNumberFormat="1" applyFont="1" applyFill="1" applyBorder="1" applyAlignment="1">
      <alignment horizontal="center"/>
    </xf>
    <xf numFmtId="3" fontId="18" fillId="9" borderId="8" xfId="0" applyNumberFormat="1" applyFont="1" applyFill="1" applyBorder="1" applyAlignment="1">
      <alignment horizontal="center"/>
    </xf>
    <xf numFmtId="3" fontId="18" fillId="9" borderId="12" xfId="0" applyNumberFormat="1" applyFont="1" applyFill="1" applyBorder="1" applyAlignment="1">
      <alignment horizontal="center"/>
    </xf>
    <xf numFmtId="3" fontId="18" fillId="4" borderId="12" xfId="0" applyNumberFormat="1" applyFont="1" applyFill="1" applyBorder="1" applyAlignment="1">
      <alignment horizontal="center"/>
    </xf>
    <xf numFmtId="3" fontId="18" fillId="9" borderId="65" xfId="0" applyNumberFormat="1" applyFont="1" applyFill="1" applyBorder="1" applyAlignment="1">
      <alignment horizontal="center" vertical="top" wrapText="1"/>
    </xf>
    <xf numFmtId="3" fontId="18" fillId="46" borderId="16" xfId="0" applyNumberFormat="1" applyFont="1" applyFill="1" applyBorder="1" applyAlignment="1">
      <alignment horizontal="center"/>
    </xf>
    <xf numFmtId="3" fontId="18" fillId="46" borderId="13" xfId="0" applyNumberFormat="1" applyFont="1" applyFill="1" applyBorder="1" applyAlignment="1">
      <alignment horizontal="center"/>
    </xf>
    <xf numFmtId="3" fontId="18" fillId="46" borderId="14" xfId="0" applyNumberFormat="1" applyFont="1" applyFill="1" applyBorder="1" applyAlignment="1">
      <alignment horizontal="center"/>
    </xf>
    <xf numFmtId="174" fontId="18" fillId="46" borderId="17" xfId="290" applyNumberFormat="1" applyFont="1" applyFill="1" applyBorder="1" applyAlignment="1">
      <alignment horizontal="center"/>
    </xf>
    <xf numFmtId="174" fontId="18" fillId="46" borderId="19" xfId="290" applyNumberFormat="1" applyFont="1" applyFill="1" applyBorder="1" applyAlignment="1">
      <alignment horizontal="center"/>
    </xf>
    <xf numFmtId="174" fontId="18" fillId="46" borderId="22" xfId="290" applyNumberFormat="1" applyFont="1" applyFill="1" applyBorder="1" applyAlignment="1">
      <alignment horizontal="center"/>
    </xf>
    <xf numFmtId="3" fontId="18" fillId="46" borderId="26" xfId="0" applyNumberFormat="1" applyFont="1" applyFill="1" applyBorder="1" applyAlignment="1">
      <alignment horizontal="center"/>
    </xf>
    <xf numFmtId="3" fontId="18" fillId="46" borderId="24" xfId="0" applyNumberFormat="1" applyFont="1" applyFill="1" applyBorder="1" applyAlignment="1">
      <alignment horizontal="center"/>
    </xf>
    <xf numFmtId="174" fontId="18" fillId="46" borderId="88" xfId="290" applyNumberFormat="1" applyFont="1" applyFill="1" applyBorder="1" applyAlignment="1">
      <alignment horizontal="center"/>
    </xf>
    <xf numFmtId="174" fontId="18" fillId="46" borderId="20" xfId="290" applyNumberFormat="1" applyFont="1" applyFill="1" applyBorder="1" applyAlignment="1">
      <alignment horizontal="center"/>
    </xf>
    <xf numFmtId="174" fontId="18" fillId="46" borderId="27" xfId="290" applyNumberFormat="1" applyFont="1" applyFill="1" applyBorder="1" applyAlignment="1">
      <alignment horizontal="center"/>
    </xf>
    <xf numFmtId="3" fontId="18" fillId="46" borderId="31" xfId="0" applyNumberFormat="1" applyFont="1" applyFill="1" applyBorder="1" applyAlignment="1">
      <alignment horizontal="center"/>
    </xf>
    <xf numFmtId="3" fontId="18" fillId="46" borderId="28" xfId="0" applyNumberFormat="1" applyFont="1" applyFill="1" applyBorder="1" applyAlignment="1">
      <alignment horizontal="center"/>
    </xf>
    <xf numFmtId="3" fontId="18" fillId="46" borderId="33" xfId="0" applyNumberFormat="1" applyFont="1" applyFill="1" applyBorder="1" applyAlignment="1">
      <alignment horizontal="center"/>
    </xf>
    <xf numFmtId="174" fontId="18" fillId="46" borderId="89" xfId="290" applyNumberFormat="1" applyFont="1" applyFill="1" applyBorder="1" applyAlignment="1">
      <alignment horizontal="center"/>
    </xf>
    <xf numFmtId="174" fontId="18" fillId="46" borderId="37" xfId="290" applyNumberFormat="1" applyFont="1" applyFill="1" applyBorder="1" applyAlignment="1">
      <alignment horizontal="center"/>
    </xf>
    <xf numFmtId="174" fontId="18" fillId="46" borderId="38" xfId="290" applyNumberFormat="1" applyFont="1" applyFill="1" applyBorder="1" applyAlignment="1">
      <alignment horizontal="center"/>
    </xf>
    <xf numFmtId="3" fontId="7" fillId="5" borderId="11" xfId="1" applyNumberFormat="1" applyFont="1" applyFill="1" applyBorder="1" applyAlignment="1">
      <alignment horizontal="center" vertical="center" wrapText="1"/>
    </xf>
    <xf numFmtId="10" fontId="7" fillId="9" borderId="13" xfId="2" applyNumberFormat="1" applyFont="1" applyFill="1" applyBorder="1" applyAlignment="1">
      <alignment horizontal="center" vertical="center"/>
    </xf>
    <xf numFmtId="10" fontId="7" fillId="9" borderId="32" xfId="2" applyNumberFormat="1" applyFont="1" applyFill="1" applyBorder="1" applyAlignment="1">
      <alignment horizontal="center" vertical="center"/>
    </xf>
    <xf numFmtId="10" fontId="7" fillId="4" borderId="9" xfId="2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0" fontId="7" fillId="7" borderId="24" xfId="2" applyNumberFormat="1" applyFont="1" applyFill="1" applyBorder="1" applyAlignment="1">
      <alignment horizontal="center" vertical="center"/>
    </xf>
    <xf numFmtId="10" fontId="7" fillId="9" borderId="24" xfId="2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0" applyFont="1" applyFill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3" fontId="7" fillId="9" borderId="16" xfId="0" applyNumberFormat="1" applyFont="1" applyFill="1" applyBorder="1" applyAlignment="1">
      <alignment horizontal="center" vertical="center"/>
    </xf>
    <xf numFmtId="165" fontId="7" fillId="9" borderId="13" xfId="0" applyNumberFormat="1" applyFont="1" applyFill="1" applyBorder="1" applyAlignment="1">
      <alignment horizontal="center" vertical="center"/>
    </xf>
    <xf numFmtId="165" fontId="2" fillId="2" borderId="13" xfId="1" applyFont="1" applyFill="1" applyBorder="1" applyAlignment="1">
      <alignment vertical="center"/>
    </xf>
    <xf numFmtId="174" fontId="2" fillId="2" borderId="13" xfId="290" applyNumberFormat="1" applyFont="1" applyFill="1" applyBorder="1" applyAlignment="1">
      <alignment vertical="center"/>
    </xf>
    <xf numFmtId="3" fontId="7" fillId="9" borderId="13" xfId="1" applyNumberFormat="1" applyFont="1" applyFill="1" applyBorder="1" applyAlignment="1">
      <alignment horizontal="center" vertical="center"/>
    </xf>
    <xf numFmtId="165" fontId="7" fillId="9" borderId="13" xfId="1" applyFont="1" applyFill="1" applyBorder="1" applyAlignment="1">
      <alignment vertical="center"/>
    </xf>
    <xf numFmtId="10" fontId="7" fillId="9" borderId="14" xfId="2" applyNumberFormat="1" applyFont="1" applyFill="1" applyBorder="1" applyAlignment="1">
      <alignment horizontal="center" vertical="center"/>
    </xf>
    <xf numFmtId="10" fontId="7" fillId="9" borderId="17" xfId="2" applyNumberFormat="1" applyFont="1" applyFill="1" applyBorder="1" applyAlignment="1">
      <alignment horizontal="center" vertical="center"/>
    </xf>
    <xf numFmtId="10" fontId="7" fillId="9" borderId="18" xfId="2" applyNumberFormat="1" applyFont="1" applyFill="1" applyBorder="1" applyAlignment="1">
      <alignment horizontal="center" vertical="center"/>
    </xf>
    <xf numFmtId="165" fontId="7" fillId="9" borderId="19" xfId="0" applyNumberFormat="1" applyFont="1" applyFill="1" applyBorder="1" applyAlignment="1">
      <alignment vertical="center"/>
    </xf>
    <xf numFmtId="165" fontId="7" fillId="9" borderId="14" xfId="0" applyNumberFormat="1" applyFont="1" applyFill="1" applyBorder="1" applyAlignment="1">
      <alignment vertical="center"/>
    </xf>
    <xf numFmtId="10" fontId="7" fillId="9" borderId="16" xfId="0" applyNumberFormat="1" applyFont="1" applyFill="1" applyBorder="1" applyAlignment="1">
      <alignment horizontal="center" vertical="center"/>
    </xf>
    <xf numFmtId="10" fontId="7" fillId="9" borderId="13" xfId="0" applyNumberFormat="1" applyFont="1" applyFill="1" applyBorder="1" applyAlignment="1">
      <alignment horizontal="center" vertical="center"/>
    </xf>
    <xf numFmtId="3" fontId="7" fillId="9" borderId="19" xfId="2" applyNumberFormat="1" applyFont="1" applyFill="1" applyBorder="1" applyAlignment="1">
      <alignment horizontal="center" vertical="center"/>
    </xf>
    <xf numFmtId="3" fontId="7" fillId="9" borderId="14" xfId="2" applyNumberFormat="1" applyFont="1" applyFill="1" applyBorder="1" applyAlignment="1">
      <alignment horizontal="center" vertical="center"/>
    </xf>
    <xf numFmtId="2" fontId="7" fillId="5" borderId="16" xfId="2" applyNumberFormat="1" applyFont="1" applyFill="1" applyBorder="1" applyAlignment="1">
      <alignment horizontal="center" vertical="center"/>
    </xf>
    <xf numFmtId="2" fontId="7" fillId="5" borderId="13" xfId="2" applyNumberFormat="1" applyFont="1" applyFill="1" applyBorder="1" applyAlignment="1">
      <alignment horizontal="center" vertical="center"/>
    </xf>
    <xf numFmtId="2" fontId="7" fillId="9" borderId="18" xfId="2" applyNumberFormat="1" applyFont="1" applyFill="1" applyBorder="1" applyAlignment="1">
      <alignment horizontal="center" vertical="center"/>
    </xf>
    <xf numFmtId="165" fontId="7" fillId="9" borderId="16" xfId="2" applyNumberFormat="1" applyFont="1" applyFill="1" applyBorder="1" applyAlignment="1">
      <alignment horizontal="center" vertical="center"/>
    </xf>
    <xf numFmtId="165" fontId="7" fillId="9" borderId="22" xfId="0" applyNumberFormat="1" applyFont="1" applyFill="1" applyBorder="1" applyAlignment="1">
      <alignment horizontal="center" vertical="center"/>
    </xf>
    <xf numFmtId="3" fontId="7" fillId="7" borderId="16" xfId="0" applyNumberFormat="1" applyFont="1" applyFill="1" applyBorder="1" applyAlignment="1">
      <alignment horizontal="center" vertical="center"/>
    </xf>
    <xf numFmtId="165" fontId="3" fillId="7" borderId="13" xfId="0" applyNumberFormat="1" applyFont="1" applyFill="1" applyBorder="1" applyAlignment="1">
      <alignment horizontal="center" vertical="center"/>
    </xf>
    <xf numFmtId="10" fontId="3" fillId="7" borderId="13" xfId="0" applyNumberFormat="1" applyFont="1" applyFill="1" applyBorder="1" applyAlignment="1">
      <alignment horizontal="center" vertical="center"/>
    </xf>
    <xf numFmtId="1" fontId="8" fillId="2" borderId="13" xfId="0" applyNumberFormat="1" applyFont="1" applyFill="1" applyBorder="1" applyAlignment="1">
      <alignment horizontal="center" vertical="center"/>
    </xf>
    <xf numFmtId="3" fontId="3" fillId="7" borderId="14" xfId="0" applyNumberFormat="1" applyFont="1" applyFill="1" applyBorder="1" applyAlignment="1">
      <alignment horizontal="center" vertical="center"/>
    </xf>
    <xf numFmtId="165" fontId="3" fillId="7" borderId="14" xfId="0" applyNumberFormat="1" applyFont="1" applyFill="1" applyBorder="1" applyAlignment="1">
      <alignment horizontal="center" vertical="center"/>
    </xf>
    <xf numFmtId="10" fontId="3" fillId="7" borderId="14" xfId="0" applyNumberFormat="1" applyFont="1" applyFill="1" applyBorder="1" applyAlignment="1">
      <alignment horizontal="center" vertical="center"/>
    </xf>
    <xf numFmtId="9" fontId="3" fillId="7" borderId="14" xfId="0" applyNumberFormat="1" applyFont="1" applyFill="1" applyBorder="1" applyAlignment="1">
      <alignment horizontal="center" vertical="center"/>
    </xf>
    <xf numFmtId="165" fontId="7" fillId="9" borderId="14" xfId="1" applyFont="1" applyFill="1" applyBorder="1" applyAlignment="1">
      <alignment vertical="center"/>
    </xf>
    <xf numFmtId="165" fontId="0" fillId="0" borderId="2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10" fontId="0" fillId="0" borderId="23" xfId="0" applyNumberFormat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74" fontId="2" fillId="2" borderId="24" xfId="290" applyNumberFormat="1" applyFont="1" applyFill="1" applyBorder="1" applyAlignment="1">
      <alignment vertical="center"/>
    </xf>
    <xf numFmtId="3" fontId="7" fillId="9" borderId="24" xfId="1" applyNumberFormat="1" applyFont="1" applyFill="1" applyBorder="1" applyAlignment="1">
      <alignment horizontal="center" vertical="center"/>
    </xf>
    <xf numFmtId="165" fontId="7" fillId="9" borderId="24" xfId="1" applyFont="1" applyFill="1" applyBorder="1" applyAlignment="1">
      <alignment vertical="center"/>
    </xf>
    <xf numFmtId="165" fontId="7" fillId="9" borderId="21" xfId="0" applyNumberFormat="1" applyFont="1" applyFill="1" applyBorder="1" applyAlignment="1">
      <alignment vertical="center"/>
    </xf>
    <xf numFmtId="10" fontId="7" fillId="9" borderId="24" xfId="0" applyNumberFormat="1" applyFont="1" applyFill="1" applyBorder="1" applyAlignment="1">
      <alignment horizontal="center" vertical="center"/>
    </xf>
    <xf numFmtId="3" fontId="7" fillId="9" borderId="20" xfId="2" applyNumberFormat="1" applyFont="1" applyFill="1" applyBorder="1" applyAlignment="1">
      <alignment horizontal="center" vertical="center"/>
    </xf>
    <xf numFmtId="3" fontId="7" fillId="9" borderId="21" xfId="2" applyNumberFormat="1" applyFont="1" applyFill="1" applyBorder="1" applyAlignment="1">
      <alignment horizontal="center" vertical="center"/>
    </xf>
    <xf numFmtId="2" fontId="7" fillId="5" borderId="26" xfId="2" applyNumberFormat="1" applyFont="1" applyFill="1" applyBorder="1" applyAlignment="1">
      <alignment horizontal="center" vertical="center"/>
    </xf>
    <xf numFmtId="2" fontId="7" fillId="5" borderId="24" xfId="2" applyNumberFormat="1" applyFont="1" applyFill="1" applyBorder="1" applyAlignment="1">
      <alignment horizontal="center" vertical="center"/>
    </xf>
    <xf numFmtId="165" fontId="7" fillId="9" borderId="26" xfId="2" applyNumberFormat="1" applyFont="1" applyFill="1" applyBorder="1" applyAlignment="1">
      <alignment horizontal="center" vertical="center"/>
    </xf>
    <xf numFmtId="165" fontId="7" fillId="9" borderId="27" xfId="0" applyNumberFormat="1" applyFont="1" applyFill="1" applyBorder="1" applyAlignment="1">
      <alignment horizontal="center" vertical="center"/>
    </xf>
    <xf numFmtId="3" fontId="7" fillId="7" borderId="26" xfId="0" applyNumberFormat="1" applyFont="1" applyFill="1" applyBorder="1" applyAlignment="1">
      <alignment horizontal="center" vertical="center"/>
    </xf>
    <xf numFmtId="165" fontId="3" fillId="7" borderId="24" xfId="0" applyNumberFormat="1" applyFont="1" applyFill="1" applyBorder="1" applyAlignment="1">
      <alignment horizontal="center" vertical="center"/>
    </xf>
    <xf numFmtId="10" fontId="3" fillId="7" borderId="24" xfId="0" applyNumberFormat="1" applyFont="1" applyFill="1" applyBorder="1" applyAlignment="1">
      <alignment horizontal="center" vertical="center"/>
    </xf>
    <xf numFmtId="3" fontId="9" fillId="9" borderId="24" xfId="1" applyNumberFormat="1" applyFont="1" applyFill="1" applyBorder="1" applyAlignment="1">
      <alignment horizontal="center" vertical="center"/>
    </xf>
    <xf numFmtId="165" fontId="9" fillId="9" borderId="24" xfId="1" applyFont="1" applyFill="1" applyBorder="1" applyAlignment="1">
      <alignment vertical="center"/>
    </xf>
    <xf numFmtId="165" fontId="9" fillId="9" borderId="24" xfId="0" applyNumberFormat="1" applyFont="1" applyFill="1" applyBorder="1" applyAlignment="1">
      <alignment horizontal="center" vertical="center"/>
    </xf>
    <xf numFmtId="3" fontId="7" fillId="9" borderId="24" xfId="0" applyNumberFormat="1" applyFont="1" applyFill="1" applyBorder="1" applyAlignment="1">
      <alignment horizontal="center" vertical="center"/>
    </xf>
    <xf numFmtId="0" fontId="7" fillId="9" borderId="29" xfId="0" applyFont="1" applyFill="1" applyBorder="1" applyAlignment="1">
      <alignment horizontal="center" vertical="center"/>
    </xf>
    <xf numFmtId="3" fontId="7" fillId="9" borderId="31" xfId="0" applyNumberFormat="1" applyFont="1" applyFill="1" applyBorder="1" applyAlignment="1">
      <alignment horizontal="center" vertical="center"/>
    </xf>
    <xf numFmtId="165" fontId="7" fillId="9" borderId="28" xfId="0" applyNumberFormat="1" applyFont="1" applyFill="1" applyBorder="1" applyAlignment="1">
      <alignment horizontal="center" vertical="center"/>
    </xf>
    <xf numFmtId="174" fontId="2" fillId="2" borderId="28" xfId="290" applyNumberFormat="1" applyFont="1" applyFill="1" applyBorder="1" applyAlignment="1">
      <alignment vertical="center"/>
    </xf>
    <xf numFmtId="3" fontId="7" fillId="9" borderId="28" xfId="1" applyNumberFormat="1" applyFont="1" applyFill="1" applyBorder="1" applyAlignment="1">
      <alignment horizontal="center" vertical="center"/>
    </xf>
    <xf numFmtId="165" fontId="7" fillId="9" borderId="28" xfId="1" applyFont="1" applyFill="1" applyBorder="1" applyAlignment="1">
      <alignment vertical="center"/>
    </xf>
    <xf numFmtId="10" fontId="7" fillId="9" borderId="33" xfId="2" applyNumberFormat="1" applyFont="1" applyFill="1" applyBorder="1" applyAlignment="1">
      <alignment horizontal="center" vertical="center"/>
    </xf>
    <xf numFmtId="10" fontId="7" fillId="9" borderId="34" xfId="2" applyNumberFormat="1" applyFont="1" applyFill="1" applyBorder="1" applyAlignment="1">
      <alignment horizontal="center" vertical="center"/>
    </xf>
    <xf numFmtId="10" fontId="7" fillId="9" borderId="23" xfId="2" applyNumberFormat="1" applyFont="1" applyFill="1" applyBorder="1" applyAlignment="1">
      <alignment horizontal="center" vertical="center"/>
    </xf>
    <xf numFmtId="165" fontId="7" fillId="9" borderId="35" xfId="0" applyNumberFormat="1" applyFont="1" applyFill="1" applyBorder="1" applyAlignment="1">
      <alignment vertical="center"/>
    </xf>
    <xf numFmtId="165" fontId="7" fillId="9" borderId="29" xfId="0" applyNumberFormat="1" applyFont="1" applyFill="1" applyBorder="1" applyAlignment="1">
      <alignment vertical="center"/>
    </xf>
    <xf numFmtId="10" fontId="7" fillId="9" borderId="36" xfId="0" applyNumberFormat="1" applyFont="1" applyFill="1" applyBorder="1" applyAlignment="1">
      <alignment horizontal="center" vertical="center"/>
    </xf>
    <xf numFmtId="10" fontId="7" fillId="9" borderId="28" xfId="0" applyNumberFormat="1" applyFont="1" applyFill="1" applyBorder="1" applyAlignment="1">
      <alignment horizontal="center" vertical="center"/>
    </xf>
    <xf numFmtId="10" fontId="7" fillId="9" borderId="28" xfId="2" applyNumberFormat="1" applyFont="1" applyFill="1" applyBorder="1" applyAlignment="1">
      <alignment horizontal="center" vertical="center"/>
    </xf>
    <xf numFmtId="3" fontId="7" fillId="9" borderId="37" xfId="2" applyNumberFormat="1" applyFont="1" applyFill="1" applyBorder="1" applyAlignment="1">
      <alignment horizontal="center" vertical="center"/>
    </xf>
    <xf numFmtId="3" fontId="7" fillId="9" borderId="29" xfId="2" applyNumberFormat="1" applyFont="1" applyFill="1" applyBorder="1" applyAlignment="1">
      <alignment horizontal="center" vertical="center"/>
    </xf>
    <xf numFmtId="2" fontId="7" fillId="5" borderId="31" xfId="2" applyNumberFormat="1" applyFont="1" applyFill="1" applyBorder="1" applyAlignment="1">
      <alignment horizontal="center" vertical="center"/>
    </xf>
    <xf numFmtId="2" fontId="7" fillId="5" borderId="28" xfId="2" applyNumberFormat="1" applyFont="1" applyFill="1" applyBorder="1" applyAlignment="1">
      <alignment horizontal="center" vertical="center"/>
    </xf>
    <xf numFmtId="2" fontId="7" fillId="9" borderId="23" xfId="2" applyNumberFormat="1" applyFont="1" applyFill="1" applyBorder="1" applyAlignment="1">
      <alignment horizontal="center" vertical="center"/>
    </xf>
    <xf numFmtId="165" fontId="7" fillId="9" borderId="31" xfId="2" applyNumberFormat="1" applyFont="1" applyFill="1" applyBorder="1" applyAlignment="1">
      <alignment horizontal="center" vertical="center"/>
    </xf>
    <xf numFmtId="165" fontId="7" fillId="9" borderId="38" xfId="0" applyNumberFormat="1" applyFont="1" applyFill="1" applyBorder="1" applyAlignment="1">
      <alignment horizontal="center" vertical="center"/>
    </xf>
    <xf numFmtId="3" fontId="7" fillId="7" borderId="31" xfId="0" applyNumberFormat="1" applyFont="1" applyFill="1" applyBorder="1" applyAlignment="1">
      <alignment horizontal="center" vertical="center"/>
    </xf>
    <xf numFmtId="165" fontId="3" fillId="7" borderId="28" xfId="0" applyNumberFormat="1" applyFont="1" applyFill="1" applyBorder="1" applyAlignment="1">
      <alignment horizontal="center" vertical="center"/>
    </xf>
    <xf numFmtId="10" fontId="3" fillId="7" borderId="28" xfId="0" applyNumberFormat="1" applyFont="1" applyFill="1" applyBorder="1" applyAlignment="1">
      <alignment horizontal="center" vertical="center"/>
    </xf>
    <xf numFmtId="3" fontId="3" fillId="7" borderId="33" xfId="0" applyNumberFormat="1" applyFont="1" applyFill="1" applyBorder="1" applyAlignment="1">
      <alignment horizontal="center" vertical="center"/>
    </xf>
    <xf numFmtId="165" fontId="3" fillId="7" borderId="33" xfId="0" applyNumberFormat="1" applyFont="1" applyFill="1" applyBorder="1" applyAlignment="1">
      <alignment horizontal="center" vertical="center"/>
    </xf>
    <xf numFmtId="10" fontId="3" fillId="7" borderId="33" xfId="0" applyNumberFormat="1" applyFont="1" applyFill="1" applyBorder="1" applyAlignment="1">
      <alignment horizontal="center" vertical="center"/>
    </xf>
    <xf numFmtId="9" fontId="3" fillId="7" borderId="33" xfId="0" applyNumberFormat="1" applyFont="1" applyFill="1" applyBorder="1" applyAlignment="1">
      <alignment horizontal="center" vertical="center"/>
    </xf>
    <xf numFmtId="165" fontId="7" fillId="9" borderId="33" xfId="1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165" fontId="7" fillId="4" borderId="5" xfId="0" applyNumberFormat="1" applyFont="1" applyFill="1" applyBorder="1" applyAlignment="1">
      <alignment horizontal="center" vertical="center"/>
    </xf>
    <xf numFmtId="3" fontId="7" fillId="4" borderId="8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/>
    </xf>
    <xf numFmtId="174" fontId="7" fillId="4" borderId="9" xfId="290" applyNumberFormat="1" applyFont="1" applyFill="1" applyBorder="1" applyAlignment="1">
      <alignment horizontal="center" vertical="center"/>
    </xf>
    <xf numFmtId="10" fontId="7" fillId="4" borderId="9" xfId="0" applyNumberFormat="1" applyFont="1" applyFill="1" applyBorder="1" applyAlignment="1">
      <alignment horizontal="center" vertical="center"/>
    </xf>
    <xf numFmtId="10" fontId="7" fillId="4" borderId="10" xfId="2" applyNumberFormat="1" applyFont="1" applyFill="1" applyBorder="1" applyAlignment="1">
      <alignment horizontal="center" vertical="center"/>
    </xf>
    <xf numFmtId="10" fontId="7" fillId="4" borderId="11" xfId="2" applyNumberFormat="1" applyFont="1" applyFill="1" applyBorder="1" applyAlignment="1">
      <alignment horizontal="center" vertical="center"/>
    </xf>
    <xf numFmtId="10" fontId="7" fillId="4" borderId="7" xfId="2" applyNumberFormat="1" applyFont="1" applyFill="1" applyBorder="1" applyAlignment="1">
      <alignment horizontal="center" vertical="center"/>
    </xf>
    <xf numFmtId="165" fontId="7" fillId="4" borderId="39" xfId="0" applyNumberFormat="1" applyFont="1" applyFill="1" applyBorder="1" applyAlignment="1">
      <alignment vertical="center"/>
    </xf>
    <xf numFmtId="165" fontId="7" fillId="4" borderId="10" xfId="0" applyNumberFormat="1" applyFont="1" applyFill="1" applyBorder="1" applyAlignment="1">
      <alignment vertical="center"/>
    </xf>
    <xf numFmtId="10" fontId="7" fillId="4" borderId="8" xfId="0" applyNumberFormat="1" applyFont="1" applyFill="1" applyBorder="1" applyAlignment="1">
      <alignment horizontal="center" vertical="center"/>
    </xf>
    <xf numFmtId="3" fontId="7" fillId="4" borderId="39" xfId="2" applyNumberFormat="1" applyFont="1" applyFill="1" applyBorder="1" applyAlignment="1">
      <alignment horizontal="center" vertical="center"/>
    </xf>
    <xf numFmtId="2" fontId="7" fillId="4" borderId="8" xfId="2" applyNumberFormat="1" applyFont="1" applyFill="1" applyBorder="1" applyAlignment="1">
      <alignment horizontal="center" vertical="center"/>
    </xf>
    <xf numFmtId="2" fontId="7" fillId="4" borderId="9" xfId="2" applyNumberFormat="1" applyFont="1" applyFill="1" applyBorder="1" applyAlignment="1">
      <alignment horizontal="center" vertical="center"/>
    </xf>
    <xf numFmtId="2" fontId="7" fillId="4" borderId="7" xfId="2" applyNumberFormat="1" applyFont="1" applyFill="1" applyBorder="1" applyAlignment="1">
      <alignment horizontal="center" vertical="center"/>
    </xf>
    <xf numFmtId="165" fontId="7" fillId="4" borderId="8" xfId="2" applyNumberFormat="1" applyFont="1" applyFill="1" applyBorder="1" applyAlignment="1">
      <alignment horizontal="center" vertical="center"/>
    </xf>
    <xf numFmtId="165" fontId="7" fillId="4" borderId="12" xfId="0" applyNumberFormat="1" applyFont="1" applyFill="1" applyBorder="1" applyAlignment="1">
      <alignment horizontal="center" vertical="center"/>
    </xf>
    <xf numFmtId="165" fontId="3" fillId="4" borderId="9" xfId="0" applyNumberFormat="1" applyFont="1" applyFill="1" applyBorder="1" applyAlignment="1">
      <alignment horizontal="center" vertical="center"/>
    </xf>
    <xf numFmtId="10" fontId="3" fillId="4" borderId="9" xfId="0" applyNumberFormat="1" applyFont="1" applyFill="1" applyBorder="1" applyAlignment="1">
      <alignment horizontal="center" vertical="center"/>
    </xf>
    <xf numFmtId="3" fontId="3" fillId="4" borderId="10" xfId="0" applyNumberFormat="1" applyFont="1" applyFill="1" applyBorder="1" applyAlignment="1">
      <alignment horizontal="center" vertical="center"/>
    </xf>
    <xf numFmtId="165" fontId="3" fillId="4" borderId="10" xfId="0" applyNumberFormat="1" applyFont="1" applyFill="1" applyBorder="1" applyAlignment="1">
      <alignment horizontal="center" vertical="center"/>
    </xf>
    <xf numFmtId="10" fontId="3" fillId="4" borderId="10" xfId="0" applyNumberFormat="1" applyFont="1" applyFill="1" applyBorder="1" applyAlignment="1">
      <alignment horizontal="center" vertical="center"/>
    </xf>
    <xf numFmtId="10" fontId="3" fillId="4" borderId="6" xfId="0" applyNumberFormat="1" applyFont="1" applyFill="1" applyBorder="1" applyAlignment="1">
      <alignment horizontal="center" vertical="center"/>
    </xf>
    <xf numFmtId="9" fontId="3" fillId="4" borderId="10" xfId="0" applyNumberFormat="1" applyFont="1" applyFill="1" applyBorder="1" applyAlignment="1">
      <alignment horizontal="center" vertical="center"/>
    </xf>
    <xf numFmtId="165" fontId="7" fillId="4" borderId="9" xfId="0" applyNumberFormat="1" applyFont="1" applyFill="1" applyBorder="1" applyAlignment="1">
      <alignment vertical="center"/>
    </xf>
    <xf numFmtId="165" fontId="3" fillId="4" borderId="6" xfId="0" applyNumberFormat="1" applyFont="1" applyFill="1" applyBorder="1" applyAlignment="1">
      <alignment vertical="center"/>
    </xf>
    <xf numFmtId="165" fontId="3" fillId="4" borderId="5" xfId="0" applyNumberFormat="1" applyFont="1" applyFill="1" applyBorder="1" applyAlignment="1">
      <alignment vertical="center"/>
    </xf>
    <xf numFmtId="10" fontId="3" fillId="4" borderId="11" xfId="0" applyNumberFormat="1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10" fontId="3" fillId="4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0" fontId="0" fillId="3" borderId="11" xfId="0" applyNumberFormat="1" applyFill="1" applyBorder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9" fontId="0" fillId="0" borderId="0" xfId="0" applyNumberFormat="1" applyAlignment="1">
      <alignment vertical="center"/>
    </xf>
    <xf numFmtId="9" fontId="0" fillId="0" borderId="0" xfId="0" applyNumberFormat="1" applyAlignment="1">
      <alignment horizontal="center" vertical="center"/>
    </xf>
    <xf numFmtId="0" fontId="3" fillId="7" borderId="24" xfId="0" applyFont="1" applyFill="1" applyBorder="1" applyAlignment="1">
      <alignment horizontal="center" vertical="center"/>
    </xf>
    <xf numFmtId="3" fontId="3" fillId="7" borderId="24" xfId="0" applyNumberFormat="1" applyFont="1" applyFill="1" applyBorder="1" applyAlignment="1">
      <alignment horizontal="center" vertical="center"/>
    </xf>
    <xf numFmtId="9" fontId="7" fillId="7" borderId="24" xfId="0" applyNumberFormat="1" applyFont="1" applyFill="1" applyBorder="1" applyAlignment="1">
      <alignment horizontal="center" vertical="center"/>
    </xf>
    <xf numFmtId="165" fontId="7" fillId="7" borderId="24" xfId="0" applyNumberFormat="1" applyFont="1" applyFill="1" applyBorder="1" applyAlignment="1">
      <alignment horizontal="center" vertical="center"/>
    </xf>
    <xf numFmtId="165" fontId="0" fillId="0" borderId="24" xfId="0" applyNumberFormat="1" applyBorder="1" applyAlignment="1">
      <alignment vertical="center"/>
    </xf>
    <xf numFmtId="10" fontId="0" fillId="0" borderId="24" xfId="0" applyNumberFormat="1" applyBorder="1" applyAlignment="1">
      <alignment horizontal="center" vertical="center"/>
    </xf>
    <xf numFmtId="165" fontId="18" fillId="3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horizontal="center" vertical="center" wrapText="1"/>
    </xf>
    <xf numFmtId="0" fontId="7" fillId="47" borderId="13" xfId="0" applyFont="1" applyFill="1" applyBorder="1" applyAlignment="1">
      <alignment horizontal="center" vertical="center"/>
    </xf>
    <xf numFmtId="0" fontId="7" fillId="47" borderId="24" xfId="0" applyFont="1" applyFill="1" applyBorder="1" applyAlignment="1">
      <alignment horizontal="center" vertical="center"/>
    </xf>
    <xf numFmtId="3" fontId="7" fillId="5" borderId="90" xfId="0" applyNumberFormat="1" applyFont="1" applyFill="1" applyBorder="1" applyAlignment="1">
      <alignment horizontal="center" vertical="center" wrapText="1"/>
    </xf>
    <xf numFmtId="165" fontId="7" fillId="5" borderId="78" xfId="0" applyNumberFormat="1" applyFont="1" applyFill="1" applyBorder="1" applyAlignment="1">
      <alignment horizontal="center" vertical="center" wrapText="1"/>
    </xf>
    <xf numFmtId="0" fontId="7" fillId="5" borderId="78" xfId="0" applyFont="1" applyFill="1" applyBorder="1" applyAlignment="1">
      <alignment horizontal="center" vertical="center" wrapText="1"/>
    </xf>
    <xf numFmtId="165" fontId="7" fillId="5" borderId="78" xfId="1" applyFont="1" applyFill="1" applyBorder="1" applyAlignment="1">
      <alignment horizontal="center" vertical="center" wrapText="1"/>
    </xf>
    <xf numFmtId="3" fontId="7" fillId="5" borderId="78" xfId="1" applyNumberFormat="1" applyFont="1" applyFill="1" applyBorder="1" applyAlignment="1">
      <alignment horizontal="center" vertical="center" wrapText="1"/>
    </xf>
    <xf numFmtId="10" fontId="7" fillId="5" borderId="78" xfId="1" applyNumberFormat="1" applyFont="1" applyFill="1" applyBorder="1" applyAlignment="1">
      <alignment horizontal="center" vertical="center" wrapText="1"/>
    </xf>
    <xf numFmtId="9" fontId="7" fillId="5" borderId="78" xfId="1" applyNumberFormat="1" applyFont="1" applyFill="1" applyBorder="1" applyAlignment="1">
      <alignment horizontal="center" vertical="center" wrapText="1"/>
    </xf>
    <xf numFmtId="165" fontId="2" fillId="2" borderId="78" xfId="1" applyFont="1" applyFill="1" applyBorder="1" applyAlignment="1">
      <alignment horizontal="center" vertical="center" wrapText="1"/>
    </xf>
    <xf numFmtId="167" fontId="0" fillId="0" borderId="0" xfId="290" applyFont="1" applyAlignment="1">
      <alignment horizontal="center" vertical="center"/>
    </xf>
    <xf numFmtId="165" fontId="7" fillId="4" borderId="9" xfId="0" applyNumberFormat="1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165" fontId="7" fillId="4" borderId="9" xfId="1" applyFont="1" applyFill="1" applyBorder="1" applyAlignment="1">
      <alignment horizontal="center" vertical="center" wrapText="1"/>
    </xf>
    <xf numFmtId="10" fontId="7" fillId="48" borderId="11" xfId="1" applyNumberFormat="1" applyFont="1" applyFill="1" applyBorder="1" applyAlignment="1">
      <alignment horizontal="center" vertical="center" wrapText="1"/>
    </xf>
    <xf numFmtId="10" fontId="7" fillId="49" borderId="11" xfId="1" applyNumberFormat="1" applyFont="1" applyFill="1" applyBorder="1" applyAlignment="1">
      <alignment horizontal="center" vertical="center" wrapText="1"/>
    </xf>
    <xf numFmtId="49" fontId="19" fillId="46" borderId="11" xfId="0" applyNumberFormat="1" applyFont="1" applyFill="1" applyBorder="1" applyAlignment="1">
      <alignment horizontal="center" vertical="top"/>
    </xf>
    <xf numFmtId="3" fontId="19" fillId="46" borderId="50" xfId="0" applyNumberFormat="1" applyFont="1" applyFill="1" applyBorder="1" applyAlignment="1">
      <alignment horizontal="center" vertical="top" wrapText="1"/>
    </xf>
    <xf numFmtId="3" fontId="19" fillId="46" borderId="51" xfId="0" applyNumberFormat="1" applyFont="1" applyFill="1" applyBorder="1" applyAlignment="1">
      <alignment horizontal="center" vertical="top" wrapText="1"/>
    </xf>
    <xf numFmtId="10" fontId="19" fillId="46" borderId="52" xfId="0" applyNumberFormat="1" applyFont="1" applyFill="1" applyBorder="1" applyAlignment="1">
      <alignment horizontal="center" vertical="top" wrapText="1"/>
    </xf>
    <xf numFmtId="165" fontId="19" fillId="46" borderId="50" xfId="0" applyNumberFormat="1" applyFont="1" applyFill="1" applyBorder="1" applyAlignment="1">
      <alignment horizontal="center" vertical="top" wrapText="1"/>
    </xf>
    <xf numFmtId="165" fontId="19" fillId="46" borderId="51" xfId="0" applyNumberFormat="1" applyFont="1" applyFill="1" applyBorder="1" applyAlignment="1">
      <alignment horizontal="center" vertical="top" wrapText="1"/>
    </xf>
    <xf numFmtId="10" fontId="19" fillId="46" borderId="53" xfId="0" applyNumberFormat="1" applyFont="1" applyFill="1" applyBorder="1" applyAlignment="1">
      <alignment horizontal="center" vertical="top" wrapText="1"/>
    </xf>
    <xf numFmtId="10" fontId="19" fillId="46" borderId="9" xfId="0" applyNumberFormat="1" applyFont="1" applyFill="1" applyBorder="1" applyAlignment="1">
      <alignment horizontal="center"/>
    </xf>
    <xf numFmtId="10" fontId="19" fillId="46" borderId="12" xfId="0" applyNumberFormat="1" applyFont="1" applyFill="1" applyBorder="1" applyAlignment="1">
      <alignment horizontal="center"/>
    </xf>
    <xf numFmtId="49" fontId="19" fillId="46" borderId="11" xfId="0" applyNumberFormat="1" applyFont="1" applyFill="1" applyBorder="1" applyAlignment="1">
      <alignment horizontal="center" vertical="top" wrapText="1"/>
    </xf>
    <xf numFmtId="49" fontId="19" fillId="51" borderId="11" xfId="0" applyNumberFormat="1" applyFont="1" applyFill="1" applyBorder="1" applyAlignment="1">
      <alignment horizontal="center" vertical="top" wrapText="1"/>
    </xf>
    <xf numFmtId="3" fontId="19" fillId="51" borderId="50" xfId="0" applyNumberFormat="1" applyFont="1" applyFill="1" applyBorder="1" applyAlignment="1">
      <alignment horizontal="center" vertical="top" wrapText="1"/>
    </xf>
    <xf numFmtId="10" fontId="19" fillId="51" borderId="52" xfId="0" applyNumberFormat="1" applyFont="1" applyFill="1" applyBorder="1" applyAlignment="1">
      <alignment horizontal="center" vertical="top" wrapText="1"/>
    </xf>
    <xf numFmtId="165" fontId="19" fillId="51" borderId="50" xfId="0" applyNumberFormat="1" applyFont="1" applyFill="1" applyBorder="1" applyAlignment="1">
      <alignment horizontal="center" vertical="top" wrapText="1"/>
    </xf>
    <xf numFmtId="165" fontId="19" fillId="51" borderId="51" xfId="0" applyNumberFormat="1" applyFont="1" applyFill="1" applyBorder="1" applyAlignment="1">
      <alignment horizontal="center" vertical="top"/>
    </xf>
    <xf numFmtId="10" fontId="19" fillId="51" borderId="53" xfId="0" applyNumberFormat="1" applyFont="1" applyFill="1" applyBorder="1" applyAlignment="1">
      <alignment horizontal="center" vertical="top" wrapText="1"/>
    </xf>
    <xf numFmtId="10" fontId="19" fillId="51" borderId="9" xfId="0" applyNumberFormat="1" applyFont="1" applyFill="1" applyBorder="1" applyAlignment="1">
      <alignment horizontal="center"/>
    </xf>
    <xf numFmtId="10" fontId="19" fillId="51" borderId="12" xfId="0" applyNumberFormat="1" applyFont="1" applyFill="1" applyBorder="1" applyAlignment="1">
      <alignment horizontal="center"/>
    </xf>
    <xf numFmtId="49" fontId="19" fillId="10" borderId="41" xfId="0" applyNumberFormat="1" applyFont="1" applyFill="1" applyBorder="1" applyAlignment="1">
      <alignment horizontal="center" vertical="top" wrapText="1"/>
    </xf>
    <xf numFmtId="170" fontId="19" fillId="10" borderId="42" xfId="0" applyNumberFormat="1" applyFont="1" applyFill="1" applyBorder="1" applyAlignment="1">
      <alignment horizontal="center" vertical="top" wrapText="1"/>
    </xf>
    <xf numFmtId="10" fontId="19" fillId="10" borderId="42" xfId="0" applyNumberFormat="1" applyFont="1" applyFill="1" applyBorder="1" applyAlignment="1">
      <alignment horizontal="center" vertical="top" wrapText="1"/>
    </xf>
    <xf numFmtId="165" fontId="19" fillId="10" borderId="42" xfId="0" applyNumberFormat="1" applyFont="1" applyFill="1" applyBorder="1" applyAlignment="1">
      <alignment horizontal="center" vertical="top" wrapText="1"/>
    </xf>
    <xf numFmtId="10" fontId="19" fillId="10" borderId="42" xfId="0" applyNumberFormat="1" applyFont="1" applyFill="1" applyBorder="1" applyAlignment="1">
      <alignment horizontal="center"/>
    </xf>
    <xf numFmtId="10" fontId="19" fillId="10" borderId="40" xfId="0" applyNumberFormat="1" applyFont="1" applyFill="1" applyBorder="1" applyAlignment="1">
      <alignment horizontal="center"/>
    </xf>
    <xf numFmtId="3" fontId="16" fillId="52" borderId="11" xfId="4" applyNumberFormat="1" applyFont="1" applyFill="1" applyBorder="1" applyAlignment="1">
      <alignment horizontal="center"/>
    </xf>
    <xf numFmtId="10" fontId="16" fillId="52" borderId="5" xfId="4" applyNumberFormat="1" applyFont="1" applyFill="1" applyBorder="1" applyAlignment="1">
      <alignment horizontal="center"/>
    </xf>
    <xf numFmtId="165" fontId="16" fillId="52" borderId="11" xfId="4" applyNumberFormat="1" applyFont="1" applyFill="1" applyBorder="1"/>
    <xf numFmtId="10" fontId="16" fillId="52" borderId="7" xfId="4" applyNumberFormat="1" applyFont="1" applyFill="1" applyBorder="1" applyAlignment="1">
      <alignment horizontal="center"/>
    </xf>
    <xf numFmtId="2" fontId="16" fillId="52" borderId="5" xfId="4" applyNumberFormat="1" applyFont="1" applyFill="1" applyBorder="1" applyAlignment="1">
      <alignment horizontal="center"/>
    </xf>
    <xf numFmtId="2" fontId="16" fillId="52" borderId="11" xfId="4" applyNumberFormat="1" applyFont="1" applyFill="1" applyBorder="1" applyAlignment="1">
      <alignment horizontal="center"/>
    </xf>
    <xf numFmtId="10" fontId="16" fillId="52" borderId="11" xfId="4" applyNumberFormat="1" applyFont="1" applyFill="1" applyBorder="1" applyAlignment="1">
      <alignment horizontal="center"/>
    </xf>
    <xf numFmtId="165" fontId="16" fillId="52" borderId="5" xfId="4" applyNumberFormat="1" applyFont="1" applyFill="1" applyBorder="1"/>
    <xf numFmtId="2" fontId="16" fillId="52" borderId="6" xfId="4" applyNumberFormat="1" applyFont="1" applyFill="1" applyBorder="1" applyAlignment="1">
      <alignment horizontal="center"/>
    </xf>
    <xf numFmtId="2" fontId="16" fillId="52" borderId="7" xfId="4" applyNumberFormat="1" applyFont="1" applyFill="1" applyBorder="1" applyAlignment="1">
      <alignment horizontal="center"/>
    </xf>
    <xf numFmtId="165" fontId="9" fillId="0" borderId="0" xfId="0" applyNumberFormat="1" applyFont="1" applyAlignment="1">
      <alignment horizontal="center" vertical="center"/>
    </xf>
    <xf numFmtId="175" fontId="2" fillId="2" borderId="24" xfId="290" applyNumberFormat="1" applyFont="1" applyFill="1" applyBorder="1" applyAlignment="1">
      <alignment vertical="center"/>
    </xf>
    <xf numFmtId="170" fontId="3" fillId="7" borderId="24" xfId="0" applyNumberFormat="1" applyFont="1" applyFill="1" applyBorder="1" applyAlignment="1">
      <alignment horizontal="center" vertical="center"/>
    </xf>
    <xf numFmtId="10" fontId="7" fillId="7" borderId="24" xfId="0" applyNumberFormat="1" applyFont="1" applyFill="1" applyBorder="1" applyAlignment="1">
      <alignment horizontal="center" vertical="center"/>
    </xf>
    <xf numFmtId="0" fontId="7" fillId="7" borderId="24" xfId="2" applyNumberFormat="1" applyFont="1" applyFill="1" applyBorder="1" applyAlignment="1">
      <alignment horizontal="center" vertical="center"/>
    </xf>
    <xf numFmtId="2" fontId="7" fillId="7" borderId="24" xfId="2" applyNumberFormat="1" applyFont="1" applyFill="1" applyBorder="1" applyAlignment="1">
      <alignment horizontal="center" vertical="center"/>
    </xf>
    <xf numFmtId="0" fontId="7" fillId="7" borderId="24" xfId="0" applyFont="1" applyFill="1" applyBorder="1" applyAlignment="1">
      <alignment horizontal="center" vertical="center"/>
    </xf>
    <xf numFmtId="9" fontId="3" fillId="7" borderId="24" xfId="0" applyNumberFormat="1" applyFont="1" applyFill="1" applyBorder="1" applyAlignment="1">
      <alignment horizontal="center" vertical="center"/>
    </xf>
    <xf numFmtId="164" fontId="2" fillId="2" borderId="25" xfId="0" applyNumberFormat="1" applyFont="1" applyFill="1" applyBorder="1" applyAlignment="1">
      <alignment horizontal="center" vertical="center"/>
    </xf>
    <xf numFmtId="164" fontId="2" fillId="2" borderId="15" xfId="0" applyNumberFormat="1" applyFont="1" applyFill="1" applyBorder="1" applyAlignment="1">
      <alignment horizontal="center" vertical="center"/>
    </xf>
    <xf numFmtId="164" fontId="2" fillId="2" borderId="30" xfId="0" applyNumberFormat="1" applyFont="1" applyFill="1" applyBorder="1" applyAlignment="1">
      <alignment horizontal="center" vertical="center"/>
    </xf>
    <xf numFmtId="1" fontId="0" fillId="0" borderId="2" xfId="0" applyNumberFormat="1" applyBorder="1" applyAlignment="1">
      <alignment vertical="center"/>
    </xf>
    <xf numFmtId="1" fontId="0" fillId="0" borderId="0" xfId="0" applyNumberFormat="1"/>
    <xf numFmtId="0" fontId="4" fillId="2" borderId="0" xfId="0" applyFont="1" applyFill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165" fontId="5" fillId="4" borderId="5" xfId="0" applyNumberFormat="1" applyFont="1" applyFill="1" applyBorder="1" applyAlignment="1">
      <alignment horizontal="center" vertical="center"/>
    </xf>
    <xf numFmtId="2" fontId="5" fillId="3" borderId="5" xfId="0" applyNumberFormat="1" applyFont="1" applyFill="1" applyBorder="1" applyAlignment="1">
      <alignment horizontal="center" vertical="center"/>
    </xf>
    <xf numFmtId="2" fontId="5" fillId="4" borderId="5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0" fontId="42" fillId="50" borderId="6" xfId="0" applyFont="1" applyFill="1" applyBorder="1" applyAlignment="1">
      <alignment horizontal="center"/>
    </xf>
    <xf numFmtId="0" fontId="42" fillId="50" borderId="5" xfId="0" applyFont="1" applyFill="1" applyBorder="1" applyAlignment="1">
      <alignment horizontal="center"/>
    </xf>
    <xf numFmtId="0" fontId="42" fillId="50" borderId="7" xfId="0" applyFont="1" applyFill="1" applyBorder="1" applyAlignment="1">
      <alignment horizontal="center"/>
    </xf>
    <xf numFmtId="0" fontId="16" fillId="0" borderId="44" xfId="4" applyFont="1" applyBorder="1" applyAlignment="1">
      <alignment horizontal="center"/>
    </xf>
    <xf numFmtId="0" fontId="16" fillId="0" borderId="45" xfId="4" applyFont="1" applyBorder="1" applyAlignment="1">
      <alignment horizontal="center"/>
    </xf>
    <xf numFmtId="0" fontId="16" fillId="0" borderId="46" xfId="4" applyFont="1" applyBorder="1" applyAlignment="1">
      <alignment horizontal="center" wrapText="1"/>
    </xf>
    <xf numFmtId="0" fontId="16" fillId="0" borderId="40" xfId="4" applyFont="1" applyBorder="1" applyAlignment="1">
      <alignment horizontal="center" wrapText="1"/>
    </xf>
    <xf numFmtId="0" fontId="14" fillId="2" borderId="3" xfId="4" applyFont="1" applyFill="1" applyBorder="1" applyAlignment="1">
      <alignment horizontal="center"/>
    </xf>
    <xf numFmtId="0" fontId="16" fillId="0" borderId="8" xfId="4" applyFont="1" applyBorder="1" applyAlignment="1">
      <alignment horizontal="center"/>
    </xf>
    <xf numFmtId="0" fontId="16" fillId="0" borderId="9" xfId="4" applyFont="1" applyBorder="1" applyAlignment="1">
      <alignment horizontal="center"/>
    </xf>
    <xf numFmtId="0" fontId="16" fillId="0" borderId="12" xfId="4" applyFont="1" applyBorder="1" applyAlignment="1">
      <alignment horizontal="center"/>
    </xf>
    <xf numFmtId="0" fontId="16" fillId="0" borderId="39" xfId="4" applyFont="1" applyBorder="1" applyAlignment="1">
      <alignment horizontal="center"/>
    </xf>
    <xf numFmtId="0" fontId="16" fillId="0" borderId="10" xfId="4" applyFont="1" applyBorder="1" applyAlignment="1">
      <alignment horizontal="center"/>
    </xf>
    <xf numFmtId="0" fontId="16" fillId="0" borderId="47" xfId="4" applyFont="1" applyBorder="1" applyAlignment="1">
      <alignment horizontal="center" wrapText="1"/>
    </xf>
    <xf numFmtId="0" fontId="16" fillId="0" borderId="49" xfId="4" applyFont="1" applyBorder="1" applyAlignment="1">
      <alignment horizontal="center" wrapText="1"/>
    </xf>
    <xf numFmtId="0" fontId="42" fillId="50" borderId="6" xfId="4" applyFont="1" applyFill="1" applyBorder="1" applyAlignment="1">
      <alignment horizontal="center"/>
    </xf>
    <xf numFmtId="0" fontId="42" fillId="50" borderId="5" xfId="4" applyFont="1" applyFill="1" applyBorder="1" applyAlignment="1">
      <alignment horizontal="center"/>
    </xf>
    <xf numFmtId="0" fontId="42" fillId="50" borderId="7" xfId="4" applyFont="1" applyFill="1" applyBorder="1" applyAlignment="1">
      <alignment horizontal="center"/>
    </xf>
  </cellXfs>
  <cellStyles count="779">
    <cellStyle name="20% - Accent1" xfId="22" builtinId="30" customBuiltin="1"/>
    <cellStyle name="20% - Accent2" xfId="25" builtinId="34" customBuiltin="1"/>
    <cellStyle name="20% - Accent3" xfId="28" builtinId="38" customBuiltin="1"/>
    <cellStyle name="20% - Accent4" xfId="31" builtinId="42" customBuiltin="1"/>
    <cellStyle name="20% - Accent5" xfId="34" builtinId="46" customBuiltin="1"/>
    <cellStyle name="20% - Accent6" xfId="37" builtinId="50" customBuiltin="1"/>
    <cellStyle name="40% - Accent1" xfId="23" builtinId="31" customBuiltin="1"/>
    <cellStyle name="40% - Accent2" xfId="26" builtinId="35" customBuiltin="1"/>
    <cellStyle name="40% - Accent3" xfId="29" builtinId="39" customBuiltin="1"/>
    <cellStyle name="40% - Accent4" xfId="32" builtinId="43" customBuiltin="1"/>
    <cellStyle name="40% - Accent5" xfId="35" builtinId="47" customBuiltin="1"/>
    <cellStyle name="40% - Accent6" xfId="38" builtinId="51" customBuiltin="1"/>
    <cellStyle name="60% - Énfasis1 2" xfId="89" xr:uid="{FBCA8336-5B61-40E0-864C-FB8C751EE060}"/>
    <cellStyle name="60% - Énfasis2 2" xfId="90" xr:uid="{625DE1D1-6C53-4576-9109-12DDF16ABF80}"/>
    <cellStyle name="60% - Énfasis3 2" xfId="91" xr:uid="{2C985CC3-ACDE-460A-A1F1-10BD599E5EA9}"/>
    <cellStyle name="60% - Énfasis4 2" xfId="92" xr:uid="{8051BD54-FD3C-4EC7-A2B7-68F06BF5313E}"/>
    <cellStyle name="60% - Énfasis5 2" xfId="93" xr:uid="{E20FFBEC-3EF0-40EA-ADDA-264B6B2FEE7B}"/>
    <cellStyle name="60% - Énfasis6 2" xfId="94" xr:uid="{5EE4EB5A-7608-4DDE-9735-D706F794A746}"/>
    <cellStyle name="Accent1" xfId="21" builtinId="29" customBuiltin="1"/>
    <cellStyle name="Accent2" xfId="24" builtinId="33" customBuiltin="1"/>
    <cellStyle name="Accent3" xfId="27" builtinId="37" customBuiltin="1"/>
    <cellStyle name="Accent4" xfId="30" builtinId="41" customBuiltin="1"/>
    <cellStyle name="Accent5" xfId="33" builtinId="45" customBuiltin="1"/>
    <cellStyle name="Accent6" xfId="36" builtinId="49" customBuiltin="1"/>
    <cellStyle name="Bad" xfId="11" builtinId="27" customBuiltin="1"/>
    <cellStyle name="Calculation" xfId="14" builtinId="22" customBuiltin="1"/>
    <cellStyle name="Check Cell" xfId="16" builtinId="23" customBuiltin="1"/>
    <cellStyle name="Currency" xfId="290" builtinId="4"/>
    <cellStyle name="Currency [0]" xfId="1" builtinId="7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2" builtinId="20" customBuiltin="1"/>
    <cellStyle name="Linked Cell" xfId="15" builtinId="24" customBuiltin="1"/>
    <cellStyle name="Millares [0] 10" xfId="496" xr:uid="{3DC53335-3AF9-4D72-8CE1-78FD8B3A9BA5}"/>
    <cellStyle name="Millares [0] 11" xfId="567" xr:uid="{F1EBC9E2-96D1-421C-A352-F621937E41AA}"/>
    <cellStyle name="Millares [0] 12" xfId="638" xr:uid="{5796B7C6-8BEF-4FC3-A595-67403944FAE6}"/>
    <cellStyle name="Millares [0] 13" xfId="709" xr:uid="{31FED9BE-F3AF-4426-8BF4-0AB34C5EAEAE}"/>
    <cellStyle name="Millares [0] 2" xfId="47" xr:uid="{E3A4D405-AFAF-4DD4-AC3A-6DC5EDCED87A}"/>
    <cellStyle name="Millares [0] 2 10" xfId="568" xr:uid="{D7DCA97F-E969-42AC-858F-E7399B9A2DA5}"/>
    <cellStyle name="Millares [0] 2 11" xfId="639" xr:uid="{D5FBED7C-A712-4A43-B95D-93AE3073055C}"/>
    <cellStyle name="Millares [0] 2 12" xfId="710" xr:uid="{0CF6F01A-F38A-4D4A-8668-E721261DBFF4}"/>
    <cellStyle name="Millares [0] 2 2" xfId="70" xr:uid="{D016B619-EBAF-49BE-8BBB-943D5F02D04C}"/>
    <cellStyle name="Millares [0] 2 2 10" xfId="714" xr:uid="{B97B16B6-B273-49D1-B5F3-9517D26FA45D}"/>
    <cellStyle name="Millares [0] 2 2 2" xfId="162" xr:uid="{20CD8F43-B816-418F-A883-343EE42618A2}"/>
    <cellStyle name="Millares [0] 2 2 2 2" xfId="421" xr:uid="{5BE9A830-1E54-4707-A792-C06E09777215}"/>
    <cellStyle name="Millares [0] 2 2 2 3" xfId="492" xr:uid="{18B19909-283D-4A33-91A1-6B69CD878ED7}"/>
    <cellStyle name="Millares [0] 2 2 2 4" xfId="563" xr:uid="{80AA23BA-0263-470C-A561-879BF1BE0E4B}"/>
    <cellStyle name="Millares [0] 2 2 2 5" xfId="634" xr:uid="{D26F1B31-D942-4F4D-8B12-B057A75729B2}"/>
    <cellStyle name="Millares [0] 2 2 2 6" xfId="705" xr:uid="{9CB059FE-90C8-4B27-8881-DD5409E6CEF0}"/>
    <cellStyle name="Millares [0] 2 2 2 7" xfId="776" xr:uid="{CF9F5EB1-ADC8-40EF-B803-64E27E36F8EB}"/>
    <cellStyle name="Millares [0] 2 2 3" xfId="229" xr:uid="{3D3FAABD-EFDE-433B-9DEF-C713450E5ADD}"/>
    <cellStyle name="Millares [0] 2 2 4" xfId="297" xr:uid="{1F553329-4528-44D4-A930-CE71F85087B7}"/>
    <cellStyle name="Millares [0] 2 2 5" xfId="359" xr:uid="{4225739C-05B3-48CF-B669-380FC78D665F}"/>
    <cellStyle name="Millares [0] 2 2 6" xfId="430" xr:uid="{CEF28EAB-9BDB-464D-9205-5AA26F0C81FC}"/>
    <cellStyle name="Millares [0] 2 2 7" xfId="501" xr:uid="{30307BFB-2014-4C21-AACE-3BE8EDD7CDFB}"/>
    <cellStyle name="Millares [0] 2 2 8" xfId="572" xr:uid="{15DCF26F-A677-44AF-92C4-8642AB5FEC33}"/>
    <cellStyle name="Millares [0] 2 2 9" xfId="643" xr:uid="{4AA5EC17-6563-456C-B4BC-B1A71FBA5F15}"/>
    <cellStyle name="Millares [0] 2 3" xfId="158" xr:uid="{6AED8441-AFE0-4770-8078-7BAC33EAED5A}"/>
    <cellStyle name="Millares [0] 2 4" xfId="225" xr:uid="{EA07B0CC-F835-4745-BE74-BA033048B321}"/>
    <cellStyle name="Millares [0] 2 5" xfId="60" xr:uid="{1A3A5FD2-04C6-4ED6-9F0D-79C885912A20}"/>
    <cellStyle name="Millares [0] 2 5 10" xfId="641" xr:uid="{1BC89384-D481-44B6-BEC7-EBE556A7DF28}"/>
    <cellStyle name="Millares [0] 2 5 11" xfId="712" xr:uid="{F1170B96-AB06-480A-9D7F-ED9C0A23AAB7}"/>
    <cellStyle name="Millares [0] 2 5 2" xfId="74" xr:uid="{068C3423-0D3B-4003-9482-A095C570FE90}"/>
    <cellStyle name="Millares [0] 2 5 2 10" xfId="717" xr:uid="{AF9C848E-D5E9-47A6-AA60-A8BDD5AECFB9}"/>
    <cellStyle name="Millares [0] 2 5 2 2" xfId="165" xr:uid="{497B6C68-2D67-4137-A92C-E7DCDF33C86A}"/>
    <cellStyle name="Millares [0] 2 5 2 3" xfId="232" xr:uid="{84F4B528-B991-4F05-9632-698A356402B7}"/>
    <cellStyle name="Millares [0] 2 5 2 4" xfId="300" xr:uid="{F04AAE07-6FBB-42C2-AD05-CAB9A1E1C1FA}"/>
    <cellStyle name="Millares [0] 2 5 2 5" xfId="362" xr:uid="{9D62134A-578E-41C7-8EC1-9ACAD92D223F}"/>
    <cellStyle name="Millares [0] 2 5 2 6" xfId="433" xr:uid="{974EE652-B8FB-4D92-A6CC-74E670CB5ED8}"/>
    <cellStyle name="Millares [0] 2 5 2 7" xfId="504" xr:uid="{C25C6AC6-B8C4-431C-A449-972793CCDF03}"/>
    <cellStyle name="Millares [0] 2 5 2 8" xfId="575" xr:uid="{A8BE1416-960C-4FE4-A519-D917ED33A913}"/>
    <cellStyle name="Millares [0] 2 5 2 9" xfId="646" xr:uid="{2CFD84AA-37D8-47AE-A11C-6EFCFEC4180A}"/>
    <cellStyle name="Millares [0] 2 5 3" xfId="160" xr:uid="{1957E8D0-93CA-44B3-9388-83D71C8B37EC}"/>
    <cellStyle name="Millares [0] 2 5 4" xfId="227" xr:uid="{17E76F50-7289-4B73-8457-79BC32960356}"/>
    <cellStyle name="Millares [0] 2 5 5" xfId="295" xr:uid="{1D391C16-EE94-4592-BC7A-4735DFA4E1EB}"/>
    <cellStyle name="Millares [0] 2 5 6" xfId="357" xr:uid="{FA7AC6C7-C93C-44EC-97DE-73B5C343C0B0}"/>
    <cellStyle name="Millares [0] 2 5 7" xfId="428" xr:uid="{790A6826-8538-4CE1-A0D3-0112E8326234}"/>
    <cellStyle name="Millares [0] 2 5 8" xfId="499" xr:uid="{785723F0-802E-4F6E-8A80-CEA8CE910359}"/>
    <cellStyle name="Millares [0] 2 5 9" xfId="570" xr:uid="{E3F27777-0698-4E72-AE87-4FABDA3020C8}"/>
    <cellStyle name="Millares [0] 2 6" xfId="293" xr:uid="{4DECABFE-8E08-422E-A444-40503C34FA9F}"/>
    <cellStyle name="Millares [0] 2 7" xfId="355" xr:uid="{F6853338-46CE-4BE2-834B-DB54B45B8666}"/>
    <cellStyle name="Millares [0] 2 8" xfId="426" xr:uid="{9E87163F-425F-459D-95F2-85C0B02ED00D}"/>
    <cellStyle name="Millares [0] 2 9" xfId="497" xr:uid="{F47E716C-867D-48DC-9CF9-2A9C26CF808B}"/>
    <cellStyle name="Millares [0] 3" xfId="67" xr:uid="{85B57D66-CE62-40B1-A6AB-BBCEECC5E535}"/>
    <cellStyle name="Millares [0] 3 10" xfId="713" xr:uid="{48F8155A-C6B6-414F-ACAD-468E02CD0DE5}"/>
    <cellStyle name="Millares [0] 3 2" xfId="161" xr:uid="{D05E0A55-AB2F-4B69-B6C0-BB204C547E50}"/>
    <cellStyle name="Millares [0] 3 3" xfId="228" xr:uid="{A39FB5F8-1127-4B6D-AB41-EADF1AC0AE83}"/>
    <cellStyle name="Millares [0] 3 4" xfId="296" xr:uid="{667C63F6-D103-4D83-B5F6-5E25C11C0599}"/>
    <cellStyle name="Millares [0] 3 5" xfId="358" xr:uid="{71EDDE57-F2AF-41C5-AB40-C3C773323C93}"/>
    <cellStyle name="Millares [0] 3 6" xfId="429" xr:uid="{EA9AB86B-55BA-4F4E-999B-C65AC75E4F20}"/>
    <cellStyle name="Millares [0] 3 7" xfId="500" xr:uid="{A8926B46-1D69-4E3D-9D12-CDE28870CE37}"/>
    <cellStyle name="Millares [0] 3 8" xfId="571" xr:uid="{9C00DD89-B8D2-4C25-83D6-064963F91617}"/>
    <cellStyle name="Millares [0] 3 9" xfId="642" xr:uid="{4DC54635-CF45-4571-9461-0A2DAE558E8A}"/>
    <cellStyle name="Millares [0] 4" xfId="39" xr:uid="{854000F0-2249-4EF6-AD38-9ECEAAC76B57}"/>
    <cellStyle name="Millares [0] 5" xfId="157" xr:uid="{FA2E3907-DF5F-4CAA-A361-B1C8553E8433}"/>
    <cellStyle name="Millares [0] 6" xfId="224" xr:uid="{07186C5A-0AB2-4DAB-9026-C1B1A49EF21E}"/>
    <cellStyle name="Millares [0] 7" xfId="292" xr:uid="{69C90515-5CF6-4D9C-A7C0-17AC4B4409C3}"/>
    <cellStyle name="Millares [0] 8" xfId="354" xr:uid="{E89DE837-9C8F-4EE8-B3DE-4B91CBB55BCB}"/>
    <cellStyle name="Millares [0] 9" xfId="425" xr:uid="{75C525D6-70D2-4EB5-BFF9-744C96166408}"/>
    <cellStyle name="Millares 10" xfId="125" xr:uid="{F5E15932-1FDD-44BB-96B6-2D45B9DEA090}"/>
    <cellStyle name="Millares 10 10" xfId="744" xr:uid="{80C978BA-E08B-42F5-84B8-5FF0CDE8AA05}"/>
    <cellStyle name="Millares 10 2" xfId="192" xr:uid="{C68EE0B9-88C7-405F-9961-570AFA209335}"/>
    <cellStyle name="Millares 10 3" xfId="259" xr:uid="{118460DC-9469-48A2-A413-FBF1618D0172}"/>
    <cellStyle name="Millares 10 4" xfId="327" xr:uid="{B16003DD-15A6-4974-8348-9C46AC65FD57}"/>
    <cellStyle name="Millares 10 5" xfId="389" xr:uid="{68FD4CD9-D873-483F-A1D9-76938B39CC47}"/>
    <cellStyle name="Millares 10 6" xfId="460" xr:uid="{D9416CBB-9F58-44E6-8ED7-8614DD924496}"/>
    <cellStyle name="Millares 10 7" xfId="531" xr:uid="{7D4CD181-E540-4B5A-BC86-9072C648DBD3}"/>
    <cellStyle name="Millares 10 8" xfId="602" xr:uid="{9F1344A6-4EB1-4A5E-8D05-242DF1097ED0}"/>
    <cellStyle name="Millares 10 9" xfId="673" xr:uid="{6965A5B1-D3B4-4A84-8F0F-69AC93EC3CFB}"/>
    <cellStyle name="Millares 11" xfId="126" xr:uid="{F808E35B-0BB7-4678-801A-78AC3DB5DAFD}"/>
    <cellStyle name="Millares 11 10" xfId="745" xr:uid="{B365500B-8CE8-43CD-BE26-772D5CD47452}"/>
    <cellStyle name="Millares 11 2" xfId="193" xr:uid="{57BE5147-0A3E-4B10-B2E6-5B89D437FB5E}"/>
    <cellStyle name="Millares 11 3" xfId="260" xr:uid="{9756AD31-ADA5-4E2D-8B32-595D83BF5DB5}"/>
    <cellStyle name="Millares 11 4" xfId="328" xr:uid="{6EAFD29C-A013-4939-94CB-3D7FAB746735}"/>
    <cellStyle name="Millares 11 5" xfId="390" xr:uid="{02C4A729-C1D7-40C1-B299-27E09F939613}"/>
    <cellStyle name="Millares 11 6" xfId="461" xr:uid="{43A7273F-17A5-4D36-B37A-0D3D1F808878}"/>
    <cellStyle name="Millares 11 7" xfId="532" xr:uid="{4C55A206-3EE1-44DF-8E2D-5E6E0CF9B215}"/>
    <cellStyle name="Millares 11 8" xfId="603" xr:uid="{536F3AF5-2449-436C-A2C8-BF5C270B7B9B}"/>
    <cellStyle name="Millares 11 9" xfId="674" xr:uid="{55920599-2A2C-467C-A75B-A98E64329A17}"/>
    <cellStyle name="Millares 12" xfId="127" xr:uid="{3685044F-C9CF-4504-B514-D4D22F14F2DC}"/>
    <cellStyle name="Millares 12 10" xfId="746" xr:uid="{F3138E84-E2A9-41E2-A84D-22079AB13B47}"/>
    <cellStyle name="Millares 12 2" xfId="194" xr:uid="{9E3A7313-719A-45F4-BEB5-5DDCB0F4F2DB}"/>
    <cellStyle name="Millares 12 3" xfId="261" xr:uid="{6A8CD5F9-02A4-46CE-86E8-19A14D30A0B1}"/>
    <cellStyle name="Millares 12 4" xfId="329" xr:uid="{1606AF81-3860-48C8-B98C-E2E3D57E0F99}"/>
    <cellStyle name="Millares 12 5" xfId="391" xr:uid="{CE940ED9-5ED8-44B7-89E3-0FD30F96F3B5}"/>
    <cellStyle name="Millares 12 6" xfId="462" xr:uid="{D54E0C64-83BD-4C25-B4EB-25954326D311}"/>
    <cellStyle name="Millares 12 7" xfId="533" xr:uid="{189FD2F2-6F87-4EED-8208-087200C253ED}"/>
    <cellStyle name="Millares 12 8" xfId="604" xr:uid="{9538AC5B-2C89-41F3-B097-77FCE0CC9D25}"/>
    <cellStyle name="Millares 12 9" xfId="675" xr:uid="{48206A71-C8D5-4C88-A023-628DE03E3DCF}"/>
    <cellStyle name="Millares 13" xfId="128" xr:uid="{E6041B98-C696-4C1F-A9FD-A7481E4F4263}"/>
    <cellStyle name="Millares 13 10" xfId="747" xr:uid="{73078655-D7C9-4DE2-9C6B-0FF84FB0392B}"/>
    <cellStyle name="Millares 13 2" xfId="195" xr:uid="{979409FA-E779-4B1C-ACAC-64264D75D495}"/>
    <cellStyle name="Millares 13 3" xfId="262" xr:uid="{747D893A-1AA0-4FD0-BECD-3FC9C6F6FF4E}"/>
    <cellStyle name="Millares 13 4" xfId="330" xr:uid="{6F3640B4-1AD8-4276-9AE1-165A66A31A1E}"/>
    <cellStyle name="Millares 13 5" xfId="392" xr:uid="{EFBCA948-9FE5-4EFB-AD20-F197ACDE8632}"/>
    <cellStyle name="Millares 13 6" xfId="463" xr:uid="{E33D8BC8-4326-46CE-BB13-D0F4EFC0D2C6}"/>
    <cellStyle name="Millares 13 7" xfId="534" xr:uid="{77977919-20B2-4F42-906B-A10B7D025E52}"/>
    <cellStyle name="Millares 13 8" xfId="605" xr:uid="{CBEBD63F-3576-48BF-A931-75BA675F6CC8}"/>
    <cellStyle name="Millares 13 9" xfId="676" xr:uid="{68977735-E499-469E-8EBC-287964EE5E3B}"/>
    <cellStyle name="Millares 14" xfId="129" xr:uid="{7BA3AA4E-BB4E-4E01-A868-9A3E04C95A28}"/>
    <cellStyle name="Millares 14 10" xfId="748" xr:uid="{5AFECF44-9B86-40BB-A1E5-C562C19DC460}"/>
    <cellStyle name="Millares 14 2" xfId="196" xr:uid="{0D48FBFC-213D-4239-883B-C7E71505282E}"/>
    <cellStyle name="Millares 14 3" xfId="263" xr:uid="{62AC7584-40AC-41E0-A1E8-956B992CEC58}"/>
    <cellStyle name="Millares 14 4" xfId="331" xr:uid="{4E7DF284-CA88-476C-B2DD-362B0FA9C450}"/>
    <cellStyle name="Millares 14 5" xfId="393" xr:uid="{B6F47527-72B7-44D1-8E38-1BF1F49DE66B}"/>
    <cellStyle name="Millares 14 6" xfId="464" xr:uid="{A3CCBF27-1067-4CF4-8DB9-BAA04E6F9BD4}"/>
    <cellStyle name="Millares 14 7" xfId="535" xr:uid="{D5817ADD-93B1-42D1-A36B-D4CEA47BEDFC}"/>
    <cellStyle name="Millares 14 8" xfId="606" xr:uid="{93E42824-CBAB-4C15-A0A0-D9DAF2031674}"/>
    <cellStyle name="Millares 14 9" xfId="677" xr:uid="{33034E08-BBB5-47A0-9959-68ABB0975337}"/>
    <cellStyle name="Millares 15" xfId="130" xr:uid="{92615DBB-E6D5-44E0-B98C-0AB43E44A180}"/>
    <cellStyle name="Millares 15 10" xfId="749" xr:uid="{0696C071-7F19-4F95-A41A-AE2BE3AC5E18}"/>
    <cellStyle name="Millares 15 2" xfId="197" xr:uid="{57D84ABA-2531-4F3F-A6E4-4AC2CE8175B4}"/>
    <cellStyle name="Millares 15 3" xfId="264" xr:uid="{0D0F2904-0DC1-4305-865D-5C485DB1B427}"/>
    <cellStyle name="Millares 15 4" xfId="332" xr:uid="{EC1E52F9-2D1E-429F-8E20-908675630EE7}"/>
    <cellStyle name="Millares 15 5" xfId="394" xr:uid="{29AB2AEB-FE8D-4A69-9B32-167A741160DC}"/>
    <cellStyle name="Millares 15 6" xfId="465" xr:uid="{AAB78B9A-1000-4A45-9D40-FF4D283D6425}"/>
    <cellStyle name="Millares 15 7" xfId="536" xr:uid="{8D5EF635-0A52-4A7B-A0FD-015435F0E3A6}"/>
    <cellStyle name="Millares 15 8" xfId="607" xr:uid="{026EC509-FD86-497D-9033-DAE80D801EDB}"/>
    <cellStyle name="Millares 15 9" xfId="678" xr:uid="{35110820-9A47-42B9-B963-06AD5EC0D2F7}"/>
    <cellStyle name="Millares 16" xfId="131" xr:uid="{D601542D-1739-41F6-AC95-F9FF92DE0DE8}"/>
    <cellStyle name="Millares 16 10" xfId="750" xr:uid="{CFE8A53A-6ED9-42FD-9382-4E4179347A27}"/>
    <cellStyle name="Millares 16 2" xfId="198" xr:uid="{D1AFF0B0-8FF9-4865-BD99-0C3103418A84}"/>
    <cellStyle name="Millares 16 3" xfId="265" xr:uid="{5C6E27AD-9C75-4EA8-9FF7-B070CD5BA426}"/>
    <cellStyle name="Millares 16 4" xfId="333" xr:uid="{1967BBF2-35E3-418D-B9A6-259EB68ECE05}"/>
    <cellStyle name="Millares 16 5" xfId="395" xr:uid="{8131AF08-1E4E-4B22-974E-686096CA33AE}"/>
    <cellStyle name="Millares 16 6" xfId="466" xr:uid="{B699C73A-69D0-4ED8-8C97-2B1C4385CE2C}"/>
    <cellStyle name="Millares 16 7" xfId="537" xr:uid="{020EB010-81C7-49F1-A7A6-6967EA762536}"/>
    <cellStyle name="Millares 16 8" xfId="608" xr:uid="{BC86FD84-7E63-4C86-B855-5BD1F7B68E41}"/>
    <cellStyle name="Millares 16 9" xfId="679" xr:uid="{5CEBB113-3885-4744-826B-4BAD4B81D35C}"/>
    <cellStyle name="Millares 17" xfId="132" xr:uid="{104DA262-850C-47C9-8F5F-7E8223C8AB7F}"/>
    <cellStyle name="Millares 17 10" xfId="751" xr:uid="{4AD6F2B4-47BB-4C3D-A019-AD4721F316D4}"/>
    <cellStyle name="Millares 17 2" xfId="199" xr:uid="{3FB45BAF-A852-47CB-97D4-EDCD15BA961E}"/>
    <cellStyle name="Millares 17 3" xfId="266" xr:uid="{90C695BA-31A5-4E5F-A8D7-769AA930D098}"/>
    <cellStyle name="Millares 17 4" xfId="334" xr:uid="{4D9C0790-B2D3-4079-B5D9-62BF3C8CBD87}"/>
    <cellStyle name="Millares 17 5" xfId="396" xr:uid="{1669951F-9305-45EB-9F1C-15795F93E0E8}"/>
    <cellStyle name="Millares 17 6" xfId="467" xr:uid="{7415606E-3106-4151-9B28-96CD44DCFA22}"/>
    <cellStyle name="Millares 17 7" xfId="538" xr:uid="{D66D190B-DA59-4B12-89F7-71F229E6ADAB}"/>
    <cellStyle name="Millares 17 8" xfId="609" xr:uid="{3D7638BB-AA2B-47FA-8150-DF0D810D39AA}"/>
    <cellStyle name="Millares 17 9" xfId="680" xr:uid="{49FE3123-9115-48C1-A1D6-3ADB2FF07D7E}"/>
    <cellStyle name="Millares 18" xfId="133" xr:uid="{5E37F29F-E9F9-4F1C-AC05-1DDF65D8AC3C}"/>
    <cellStyle name="Millares 18 10" xfId="752" xr:uid="{83D956A5-D2F6-4790-A73E-3786BB4B613B}"/>
    <cellStyle name="Millares 18 2" xfId="200" xr:uid="{45C36F0B-2D2B-466B-98DD-129AA7CEC3B9}"/>
    <cellStyle name="Millares 18 3" xfId="267" xr:uid="{1734BF68-5482-4DC8-9E9B-6F4C7D6D2393}"/>
    <cellStyle name="Millares 18 4" xfId="335" xr:uid="{FBC69204-32EE-4968-B745-04BE01C8E9F1}"/>
    <cellStyle name="Millares 18 5" xfId="397" xr:uid="{5ABEE345-5A74-45EA-A7F5-CB7F24C78B4C}"/>
    <cellStyle name="Millares 18 6" xfId="468" xr:uid="{5D04941F-3E05-4A75-B057-87B5EFAC4BC3}"/>
    <cellStyle name="Millares 18 7" xfId="539" xr:uid="{CDB282D5-750C-4C06-8ABE-02C14E560E55}"/>
    <cellStyle name="Millares 18 8" xfId="610" xr:uid="{F0875E5C-AF2F-4AF9-8CA4-646F089206CB}"/>
    <cellStyle name="Millares 18 9" xfId="681" xr:uid="{A02799C3-06D7-4FAE-95E6-6AB9A2C49073}"/>
    <cellStyle name="Millares 19" xfId="134" xr:uid="{ACBFD101-6C68-4D4F-BA2F-EDA7DD3C7185}"/>
    <cellStyle name="Millares 19 10" xfId="753" xr:uid="{95CFB7C4-4BFC-48C5-A05A-E60F9CA0B284}"/>
    <cellStyle name="Millares 19 2" xfId="201" xr:uid="{2947B641-F53B-4725-82B5-310860B05AE7}"/>
    <cellStyle name="Millares 19 3" xfId="268" xr:uid="{DB6539BB-A458-452F-B4FB-17F623E5179C}"/>
    <cellStyle name="Millares 19 4" xfId="336" xr:uid="{BE6ACE14-88B8-402C-893E-0B52520D2E11}"/>
    <cellStyle name="Millares 19 5" xfId="398" xr:uid="{9E499427-829D-4559-AFA5-1F66C0EC764A}"/>
    <cellStyle name="Millares 19 6" xfId="469" xr:uid="{90DCC144-408F-44BE-9BAB-C9F989A25A63}"/>
    <cellStyle name="Millares 19 7" xfId="540" xr:uid="{1254CC6A-9FC4-468D-8CA9-D34F1B07A24E}"/>
    <cellStyle name="Millares 19 8" xfId="611" xr:uid="{47A93FF1-04ED-4E1C-87A3-22A9A1C55E78}"/>
    <cellStyle name="Millares 19 9" xfId="682" xr:uid="{70FA22C1-27E9-4E96-9DFE-EC04D3435B08}"/>
    <cellStyle name="Millares 2" xfId="72" xr:uid="{C8893083-84EB-4A08-80B8-D4CC9962E88E}"/>
    <cellStyle name="Millares 2 10" xfId="644" xr:uid="{7A23645F-1825-4E32-92D3-574C4B41682C}"/>
    <cellStyle name="Millares 2 11" xfId="715" xr:uid="{22819731-B324-4E7C-94CF-916340780896}"/>
    <cellStyle name="Millares 2 2" xfId="42" xr:uid="{87FDEE32-C285-4F29-A507-15D4B46EF3C1}"/>
    <cellStyle name="Millares 2 2 2" xfId="422" xr:uid="{0F2C3A2C-7B34-427E-8519-0ED52C010AF3}"/>
    <cellStyle name="Millares 2 2 2 2" xfId="493" xr:uid="{4135B344-6F36-46BE-9819-17B1EB7BFC33}"/>
    <cellStyle name="Millares 2 2 2 3" xfId="564" xr:uid="{1579F6C1-898C-42EB-89A4-8F55F2191333}"/>
    <cellStyle name="Millares 2 2 2 4" xfId="635" xr:uid="{D2840B79-02D0-4D03-AFF7-E340EDC627B4}"/>
    <cellStyle name="Millares 2 2 2 5" xfId="706" xr:uid="{AC308A7C-798B-4B2A-AFF4-F31128B90D3C}"/>
    <cellStyle name="Millares 2 2 2 6" xfId="777" xr:uid="{9B463211-A051-4FDB-931F-EDC83CBB415C}"/>
    <cellStyle name="Millares 2 2 3" xfId="423" xr:uid="{E6904C53-E7FF-4756-8F91-4FAA1A292486}"/>
    <cellStyle name="Millares 2 2 3 2" xfId="494" xr:uid="{D883AB58-46CB-41BD-A088-6E5A0E7112F9}"/>
    <cellStyle name="Millares 2 2 3 3" xfId="565" xr:uid="{F546FFFD-E7F9-47ED-8905-31F9B8E7B0AF}"/>
    <cellStyle name="Millares 2 2 3 4" xfId="636" xr:uid="{833EADC2-248B-43CC-B1BD-62347BE98FC4}"/>
    <cellStyle name="Millares 2 2 3 5" xfId="707" xr:uid="{205E948F-A7B8-48CD-B518-A0BD2CDD8A1A}"/>
    <cellStyle name="Millares 2 2 3 6" xfId="778" xr:uid="{D478060C-9374-4A4B-862D-A71A039BAAA8}"/>
    <cellStyle name="Millares 2 3" xfId="163" xr:uid="{1266AE7C-6458-4A77-A02E-4831C8205F65}"/>
    <cellStyle name="Millares 2 3 2" xfId="418" xr:uid="{15547FDE-9298-4BB7-AAAC-744D395C753A}"/>
    <cellStyle name="Millares 2 3 3" xfId="489" xr:uid="{58EBE349-4D3F-4336-A59F-96FB2F436E66}"/>
    <cellStyle name="Millares 2 3 4" xfId="560" xr:uid="{EF2B078A-B389-42E0-BE57-221CEBF042D4}"/>
    <cellStyle name="Millares 2 3 5" xfId="631" xr:uid="{68DD0A3B-CA87-48C8-93A1-E35517DB2D60}"/>
    <cellStyle name="Millares 2 3 6" xfId="702" xr:uid="{148BACA6-5D9E-4D8D-9FFC-0195C536D202}"/>
    <cellStyle name="Millares 2 3 7" xfId="773" xr:uid="{8D3998AB-21CF-41CD-A69A-9E362A7A2C16}"/>
    <cellStyle name="Millares 2 4" xfId="230" xr:uid="{AAE89458-2004-44A9-8120-AFEA7CF5092C}"/>
    <cellStyle name="Millares 2 4 2" xfId="417" xr:uid="{559090ED-1CBA-4A5D-8487-6CCFA20155A0}"/>
    <cellStyle name="Millares 2 4 3" xfId="488" xr:uid="{C7DA2ADB-A4A7-4A67-B821-D8E1DDEDF1E9}"/>
    <cellStyle name="Millares 2 4 4" xfId="559" xr:uid="{26DEB48A-0071-4057-90A6-A5987B39EDE1}"/>
    <cellStyle name="Millares 2 4 5" xfId="630" xr:uid="{A5E77CB3-49C1-4B0A-BE2C-6EADBADC1FF8}"/>
    <cellStyle name="Millares 2 4 6" xfId="701" xr:uid="{274BC91A-1FCC-45AE-B607-2A57D1608F4D}"/>
    <cellStyle name="Millares 2 4 7" xfId="772" xr:uid="{72CFEFB5-7E14-410F-92F6-B2EADA965E00}"/>
    <cellStyle name="Millares 2 5" xfId="298" xr:uid="{4DA87042-6127-4B12-9CD4-A4FCABAC7F0C}"/>
    <cellStyle name="Millares 2 5 2" xfId="419" xr:uid="{29E82FA0-7D84-40A6-B2C7-3A0E1D1B992E}"/>
    <cellStyle name="Millares 2 5 3" xfId="490" xr:uid="{B1ECD552-9E93-4632-9C63-2159B26E2B2F}"/>
    <cellStyle name="Millares 2 5 4" xfId="561" xr:uid="{BF451F75-30A3-4188-8FF8-F622193BB5BE}"/>
    <cellStyle name="Millares 2 5 5" xfId="632" xr:uid="{4BEEF142-04A8-49D3-AE1F-C47E2D4B105F}"/>
    <cellStyle name="Millares 2 5 6" xfId="703" xr:uid="{E775A57A-F0CB-491D-A652-4FA083005A5F}"/>
    <cellStyle name="Millares 2 5 7" xfId="774" xr:uid="{98BBB5BB-51B2-493E-B81A-0F9CD6C72DAD}"/>
    <cellStyle name="Millares 2 6" xfId="360" xr:uid="{30E3845E-8665-4690-B89A-02EA295A6006}"/>
    <cellStyle name="Millares 2 7" xfId="431" xr:uid="{9484782B-A180-40B3-8542-040B4C499337}"/>
    <cellStyle name="Millares 2 8" xfId="502" xr:uid="{41550E19-9650-4434-B0C0-36498DAFE79C}"/>
    <cellStyle name="Millares 2 9" xfId="573" xr:uid="{A6B0F1B8-97FE-4BBB-B57D-4B421E7B318B}"/>
    <cellStyle name="Millares 20" xfId="135" xr:uid="{027BDDAC-DCEF-4D80-9FEA-0F03E75AC16F}"/>
    <cellStyle name="Millares 20 10" xfId="754" xr:uid="{16E218C2-B5E3-41B4-B178-44C9E8DEFB51}"/>
    <cellStyle name="Millares 20 2" xfId="202" xr:uid="{FD8859E6-5A4A-4510-9D1C-511B0C7A2DB2}"/>
    <cellStyle name="Millares 20 3" xfId="269" xr:uid="{D2E8F499-0256-4688-A698-74158FEB95C7}"/>
    <cellStyle name="Millares 20 4" xfId="337" xr:uid="{068C2302-BCD4-4DB2-91DB-AB7916AA4004}"/>
    <cellStyle name="Millares 20 5" xfId="399" xr:uid="{E3F62D85-764B-4C7B-8696-1A2214B31D2C}"/>
    <cellStyle name="Millares 20 6" xfId="470" xr:uid="{4428F096-3A27-4325-AF5C-5C12E3604350}"/>
    <cellStyle name="Millares 20 7" xfId="541" xr:uid="{F862CFF8-EEAF-4012-9557-9492C8737149}"/>
    <cellStyle name="Millares 20 8" xfId="612" xr:uid="{D77E30C4-4A55-49E7-B479-9601249B200B}"/>
    <cellStyle name="Millares 20 9" xfId="683" xr:uid="{4DED06EC-28F1-470B-9E3E-63537873AFF9}"/>
    <cellStyle name="Millares 21" xfId="136" xr:uid="{D34CA86C-3944-45D7-9D2C-A1A25FB496F6}"/>
    <cellStyle name="Millares 21 10" xfId="755" xr:uid="{0CB72E34-3304-4B8E-AAB5-9307D1805798}"/>
    <cellStyle name="Millares 21 2" xfId="203" xr:uid="{7A595E4A-5A69-4268-A836-9FA081BDCE0B}"/>
    <cellStyle name="Millares 21 3" xfId="270" xr:uid="{1279BB8B-0A1C-4D0D-8873-F49845DFD038}"/>
    <cellStyle name="Millares 21 4" xfId="338" xr:uid="{C5C100AE-2BFA-4D0F-8E6D-2580CF1C7E3A}"/>
    <cellStyle name="Millares 21 5" xfId="400" xr:uid="{71DBFF66-1732-4766-BB91-B708435F440C}"/>
    <cellStyle name="Millares 21 6" xfId="471" xr:uid="{905911E7-3992-4497-8842-57480BA16521}"/>
    <cellStyle name="Millares 21 7" xfId="542" xr:uid="{F9515D94-6878-43E1-B0B2-62F9BCF15125}"/>
    <cellStyle name="Millares 21 8" xfId="613" xr:uid="{84BE3B5E-0A01-442E-952A-4FFA8803B931}"/>
    <cellStyle name="Millares 21 9" xfId="684" xr:uid="{7C5899BD-A26D-479E-A2A2-884189A15658}"/>
    <cellStyle name="Millares 22" xfId="137" xr:uid="{22EB4DB6-2E5E-4A11-81C5-5CB263509B53}"/>
    <cellStyle name="Millares 22 10" xfId="756" xr:uid="{C460C604-A4F5-43B7-B80D-55B8FB27205C}"/>
    <cellStyle name="Millares 22 2" xfId="204" xr:uid="{51A4F1C4-A188-4FA4-8BE0-7DB00BB88210}"/>
    <cellStyle name="Millares 22 3" xfId="271" xr:uid="{23D7387B-4233-4664-AF65-47C1AE43EAC7}"/>
    <cellStyle name="Millares 22 4" xfId="339" xr:uid="{A3527D65-6B49-46FB-88EC-CC580F4FED61}"/>
    <cellStyle name="Millares 22 5" xfId="401" xr:uid="{3D1240AA-961F-4409-9622-1B5DA02D474E}"/>
    <cellStyle name="Millares 22 6" xfId="472" xr:uid="{5D166C57-7AD0-498F-8FA5-959CA81F45D7}"/>
    <cellStyle name="Millares 22 7" xfId="543" xr:uid="{5BAC005C-1A2B-41E3-908E-E93FD0D72298}"/>
    <cellStyle name="Millares 22 8" xfId="614" xr:uid="{75A4EE3C-4DA6-4DE2-84D0-D49450E8E748}"/>
    <cellStyle name="Millares 22 9" xfId="685" xr:uid="{604279D3-2FB0-4433-A8EB-247ADFB2E34F}"/>
    <cellStyle name="Millares 23" xfId="138" xr:uid="{BF8BDF11-95D3-4450-B055-EFB4388335E3}"/>
    <cellStyle name="Millares 23 10" xfId="757" xr:uid="{C13D0800-FCBE-4604-A68E-8EA5A697F532}"/>
    <cellStyle name="Millares 23 2" xfId="205" xr:uid="{D046136E-6F94-48BB-AA8F-27170D844693}"/>
    <cellStyle name="Millares 23 3" xfId="272" xr:uid="{A82A6B08-5B8D-41B6-AE14-20E9CC1C7877}"/>
    <cellStyle name="Millares 23 4" xfId="340" xr:uid="{FF43A032-D9F5-403B-A107-FAF6525ACE5E}"/>
    <cellStyle name="Millares 23 5" xfId="402" xr:uid="{FDC19B0D-EAB4-47B6-BCF2-8222DC681511}"/>
    <cellStyle name="Millares 23 6" xfId="473" xr:uid="{ABA1E89E-1F06-4327-9205-A7F53C2B6FA3}"/>
    <cellStyle name="Millares 23 7" xfId="544" xr:uid="{94C8AAD3-E979-471D-91D5-F8D12ADACB04}"/>
    <cellStyle name="Millares 23 8" xfId="615" xr:uid="{41C46181-4D1D-4608-9122-12A0148C62F4}"/>
    <cellStyle name="Millares 23 9" xfId="686" xr:uid="{8B211C85-9CA4-451D-8328-4D1169EEABD4}"/>
    <cellStyle name="Millares 24" xfId="139" xr:uid="{DBEA92BB-26FC-4642-A09E-1AB84A97557B}"/>
    <cellStyle name="Millares 24 10" xfId="758" xr:uid="{08E988BD-D924-4657-B149-971F1AE15826}"/>
    <cellStyle name="Millares 24 2" xfId="206" xr:uid="{9AA0E9A7-49CA-4343-AF91-79766E92A70A}"/>
    <cellStyle name="Millares 24 3" xfId="273" xr:uid="{F6F9826B-1334-4C4E-9028-A7AE5EF0FFF4}"/>
    <cellStyle name="Millares 24 4" xfId="341" xr:uid="{CC9AD9B9-606F-4D9D-BE98-AD705DAB5B53}"/>
    <cellStyle name="Millares 24 5" xfId="403" xr:uid="{58F1140B-0B67-4442-9D86-F5997B74D195}"/>
    <cellStyle name="Millares 24 6" xfId="474" xr:uid="{2402D77F-21DE-4153-A58B-919AFF46D404}"/>
    <cellStyle name="Millares 24 7" xfId="545" xr:uid="{0B4B93F7-EACC-4DB7-A8F5-8FC98185CC80}"/>
    <cellStyle name="Millares 24 8" xfId="616" xr:uid="{1A9C6ADB-94A8-4DC5-9420-295C42157E57}"/>
    <cellStyle name="Millares 24 9" xfId="687" xr:uid="{0E1307E9-A6BD-47C9-A74A-2657BA850B69}"/>
    <cellStyle name="Millares 25" xfId="140" xr:uid="{5AE14B5C-0754-4BCF-A08B-EFDD6FF2D3AA}"/>
    <cellStyle name="Millares 25 10" xfId="759" xr:uid="{89EE1243-CEF3-41FC-9E39-ED56BB65652A}"/>
    <cellStyle name="Millares 25 2" xfId="207" xr:uid="{1245247A-C204-444F-AE63-ABC59421E1A8}"/>
    <cellStyle name="Millares 25 3" xfId="274" xr:uid="{4F6DEBA7-A14E-4775-A17A-E430D5A97BA9}"/>
    <cellStyle name="Millares 25 4" xfId="342" xr:uid="{74E6283F-1380-4F4E-96C6-D99396559C76}"/>
    <cellStyle name="Millares 25 5" xfId="404" xr:uid="{C3980614-6C04-4241-B740-EF4A4D36FAD8}"/>
    <cellStyle name="Millares 25 6" xfId="475" xr:uid="{531979E1-5B14-4CFD-A0F2-A54C85CEB85C}"/>
    <cellStyle name="Millares 25 7" xfId="546" xr:uid="{98042041-9FD7-4AF9-BB4B-6DB7A7BBA459}"/>
    <cellStyle name="Millares 25 8" xfId="617" xr:uid="{8AA6767F-F4C8-4D11-B914-D14B1011883F}"/>
    <cellStyle name="Millares 25 9" xfId="688" xr:uid="{37250177-5EFD-48BE-8D58-3725A1CC7339}"/>
    <cellStyle name="Millares 26" xfId="141" xr:uid="{810E287A-9276-46CB-AA80-906E506F171E}"/>
    <cellStyle name="Millares 26 10" xfId="760" xr:uid="{A59A742C-9A9F-49C5-A4DD-226C72A147C1}"/>
    <cellStyle name="Millares 26 2" xfId="208" xr:uid="{6A59C73D-94A7-466D-8FC5-0080E5DC1B8B}"/>
    <cellStyle name="Millares 26 3" xfId="275" xr:uid="{600E3040-4AD8-4FCF-9BB4-A56A72D37AD2}"/>
    <cellStyle name="Millares 26 4" xfId="343" xr:uid="{C9D7FFF4-57F6-4ED1-8095-1345702535D3}"/>
    <cellStyle name="Millares 26 5" xfId="405" xr:uid="{F99C8072-08D4-46E9-BD11-ABD357D1D057}"/>
    <cellStyle name="Millares 26 6" xfId="476" xr:uid="{C45CF36D-9C41-4EB4-AB93-8D35F5902C8D}"/>
    <cellStyle name="Millares 26 7" xfId="547" xr:uid="{0B18B638-5499-413C-B59E-8310AEE5F962}"/>
    <cellStyle name="Millares 26 8" xfId="618" xr:uid="{B87A1068-6B77-4545-A883-E433F3CAD572}"/>
    <cellStyle name="Millares 26 9" xfId="689" xr:uid="{76722EE2-6710-4E28-AE45-A7E455299A2D}"/>
    <cellStyle name="Millares 27" xfId="142" xr:uid="{37B1808D-9D83-4462-BBF7-B3B5647371FC}"/>
    <cellStyle name="Millares 27 10" xfId="761" xr:uid="{E15D81D6-6281-4874-8A64-2F1C0058F743}"/>
    <cellStyle name="Millares 27 2" xfId="209" xr:uid="{8E402F3F-98D7-46B8-8EC4-EFF85591F97B}"/>
    <cellStyle name="Millares 27 3" xfId="276" xr:uid="{071C4D27-4816-4A09-ADE0-8D01B4FB80D3}"/>
    <cellStyle name="Millares 27 4" xfId="344" xr:uid="{7A5B428B-911C-4695-AB16-BD1343B70177}"/>
    <cellStyle name="Millares 27 5" xfId="406" xr:uid="{A7E34B9B-AFDA-4C31-A46B-4207A38AA943}"/>
    <cellStyle name="Millares 27 6" xfId="477" xr:uid="{DF7A7E10-EFA9-406C-AC08-7520C38AF362}"/>
    <cellStyle name="Millares 27 7" xfId="548" xr:uid="{2AB27115-49F9-40F3-99DA-D3CDD673685B}"/>
    <cellStyle name="Millares 27 8" xfId="619" xr:uid="{6E768F5B-9086-4837-A0DF-E1EDC6E7FCDD}"/>
    <cellStyle name="Millares 27 9" xfId="690" xr:uid="{CC92C205-BAE7-482B-8971-AB74DA641B42}"/>
    <cellStyle name="Millares 28" xfId="143" xr:uid="{2AEA7520-7467-421E-969E-8BEC6E43CD00}"/>
    <cellStyle name="Millares 28 10" xfId="762" xr:uid="{60D51A4A-CD37-47B6-9678-2BBD4E19B17F}"/>
    <cellStyle name="Millares 28 2" xfId="210" xr:uid="{3BB8FF81-C630-4D71-8B9C-0345084D5439}"/>
    <cellStyle name="Millares 28 3" xfId="277" xr:uid="{050EEB40-57E9-4637-9F2D-A9F339E2F22D}"/>
    <cellStyle name="Millares 28 4" xfId="345" xr:uid="{D0F2BC7A-E770-4B9C-A47C-31C20ABE4E49}"/>
    <cellStyle name="Millares 28 5" xfId="407" xr:uid="{CA1E6C71-B80D-43FA-BB46-7D65C932B83A}"/>
    <cellStyle name="Millares 28 6" xfId="478" xr:uid="{C5FCDFC0-46AA-48B7-BFB6-8EBF97E5DEFC}"/>
    <cellStyle name="Millares 28 7" xfId="549" xr:uid="{8D7B97D1-2B8B-4618-B960-97F1488A723E}"/>
    <cellStyle name="Millares 28 8" xfId="620" xr:uid="{48F58602-5280-47B7-A0A2-1ABE400D841E}"/>
    <cellStyle name="Millares 28 9" xfId="691" xr:uid="{0ADB4560-6CDD-40B0-9077-B6C2F716AD64}"/>
    <cellStyle name="Millares 29" xfId="144" xr:uid="{39E46F97-031F-45E8-A18A-1A839D162607}"/>
    <cellStyle name="Millares 29 10" xfId="763" xr:uid="{56B98645-C9D9-48E4-B7ED-509BCC437977}"/>
    <cellStyle name="Millares 29 2" xfId="211" xr:uid="{B3760ABB-AFD8-4D7D-9C97-5097A2371F9B}"/>
    <cellStyle name="Millares 29 3" xfId="278" xr:uid="{949D6B9F-F453-45F1-A230-2B691C1460E6}"/>
    <cellStyle name="Millares 29 4" xfId="346" xr:uid="{E43E19C5-D0DA-49B0-A398-781A7EC6C7F0}"/>
    <cellStyle name="Millares 29 5" xfId="408" xr:uid="{36750B30-CB63-4B50-AB84-49E87B995228}"/>
    <cellStyle name="Millares 29 6" xfId="479" xr:uid="{76565EA1-92AC-4EF0-B113-2F9194EAE9C5}"/>
    <cellStyle name="Millares 29 7" xfId="550" xr:uid="{DC60ECC6-280C-4794-BBA0-070BF8FB55CC}"/>
    <cellStyle name="Millares 29 8" xfId="621" xr:uid="{B0DDABEF-703A-4F82-88E6-B26A12057DC0}"/>
    <cellStyle name="Millares 29 9" xfId="692" xr:uid="{8371CAB6-2441-4D00-999A-FF73010F0603}"/>
    <cellStyle name="Millares 3" xfId="120" xr:uid="{026566B3-2F4D-4AD9-9A94-4F2F43B7B0C6}"/>
    <cellStyle name="Millares 3 10" xfId="739" xr:uid="{16C900B2-4CA1-46DC-A44D-25159C07438B}"/>
    <cellStyle name="Millares 3 2" xfId="187" xr:uid="{824A4D97-921F-4C97-9FF0-2D10670AD8B0}"/>
    <cellStyle name="Millares 3 3" xfId="254" xr:uid="{6DC28900-3D68-43CA-8038-64F71FD5BC67}"/>
    <cellStyle name="Millares 3 4" xfId="322" xr:uid="{2CDD566B-A634-434B-8E78-E0369B986879}"/>
    <cellStyle name="Millares 3 5" xfId="384" xr:uid="{28FE56F8-5059-4C7F-8370-B4DD77E4F86E}"/>
    <cellStyle name="Millares 3 6" xfId="455" xr:uid="{964A6150-BE4C-434B-B899-05BB50F6DBD5}"/>
    <cellStyle name="Millares 3 7" xfId="526" xr:uid="{CAF5B6C6-248F-444B-84B1-9F0D91F51EFE}"/>
    <cellStyle name="Millares 3 8" xfId="597" xr:uid="{24BA2BEB-435C-484B-884B-64A78BD1177E}"/>
    <cellStyle name="Millares 3 9" xfId="668" xr:uid="{63A30001-B9AB-43D4-83F2-2B122C09B579}"/>
    <cellStyle name="Millares 30" xfId="145" xr:uid="{E606249F-EE60-441D-A249-DB2BD41F8450}"/>
    <cellStyle name="Millares 30 10" xfId="764" xr:uid="{FD13C9CB-20C7-459E-85DC-1F339244978B}"/>
    <cellStyle name="Millares 30 2" xfId="212" xr:uid="{E0688BAA-97A7-4FE5-BABA-D039CB286EB1}"/>
    <cellStyle name="Millares 30 3" xfId="279" xr:uid="{5AFB202E-B362-4B55-92ED-1A749A995B33}"/>
    <cellStyle name="Millares 30 4" xfId="347" xr:uid="{096855DC-F86A-4A86-B385-2494B463F2DA}"/>
    <cellStyle name="Millares 30 5" xfId="409" xr:uid="{E209C142-659C-4124-80BD-320D5291F300}"/>
    <cellStyle name="Millares 30 6" xfId="480" xr:uid="{848C8EA6-89DA-4D8F-A884-6B698CD374D8}"/>
    <cellStyle name="Millares 30 7" xfId="551" xr:uid="{D314EE4C-9EA2-413F-B19F-A42B5D0BB20B}"/>
    <cellStyle name="Millares 30 8" xfId="622" xr:uid="{67C9A5BA-41F3-4BD9-B720-A6083FAE80A5}"/>
    <cellStyle name="Millares 30 9" xfId="693" xr:uid="{B6984621-7B50-40A9-8D61-EDF3A247E7F1}"/>
    <cellStyle name="Millares 31" xfId="146" xr:uid="{111C702A-23ED-41E4-BE5C-B2A7CD282046}"/>
    <cellStyle name="Millares 31 10" xfId="765" xr:uid="{0CA8E0FF-5C84-46C1-A2D6-F40C6C26487F}"/>
    <cellStyle name="Millares 31 2" xfId="213" xr:uid="{535E2ED2-92CE-4375-B951-8D60AE48CA3D}"/>
    <cellStyle name="Millares 31 3" xfId="280" xr:uid="{C1CF1710-2425-4C9D-A57A-4A10CE368376}"/>
    <cellStyle name="Millares 31 4" xfId="348" xr:uid="{AF2ED403-FFE7-40D6-A604-45FA93A60E77}"/>
    <cellStyle name="Millares 31 5" xfId="410" xr:uid="{054E42A6-BBE5-42F6-A78E-93DFB246D454}"/>
    <cellStyle name="Millares 31 6" xfId="481" xr:uid="{A6332966-F299-4541-96A6-C5754B48E0BC}"/>
    <cellStyle name="Millares 31 7" xfId="552" xr:uid="{A449099F-A56A-42C3-B3AD-11F307E05EA5}"/>
    <cellStyle name="Millares 31 8" xfId="623" xr:uid="{0A90C35E-2178-43E3-9E72-01D859272939}"/>
    <cellStyle name="Millares 31 9" xfId="694" xr:uid="{9FD28690-D417-4C38-9164-4D49754DE7B0}"/>
    <cellStyle name="Millares 32" xfId="147" xr:uid="{466CCF67-B137-438A-869B-9994F549C41C}"/>
    <cellStyle name="Millares 32 10" xfId="766" xr:uid="{553F088E-8E53-44EF-A07B-EF5D90B853AF}"/>
    <cellStyle name="Millares 32 2" xfId="214" xr:uid="{A78B78B7-9B7A-4A6A-A1AF-9898A2D240BA}"/>
    <cellStyle name="Millares 32 3" xfId="281" xr:uid="{81EFBF7B-AC31-4C5A-BE07-5E00FEB490A7}"/>
    <cellStyle name="Millares 32 4" xfId="349" xr:uid="{E413DC88-6D12-4518-9698-9D05A483C790}"/>
    <cellStyle name="Millares 32 5" xfId="411" xr:uid="{DDFE7F59-2DFE-4FB9-A732-92FB856FAABC}"/>
    <cellStyle name="Millares 32 6" xfId="482" xr:uid="{0CB293D1-AA80-43A3-BD39-7F4E3B828D25}"/>
    <cellStyle name="Millares 32 7" xfId="553" xr:uid="{11191638-09F8-45CE-860D-75261FD7A522}"/>
    <cellStyle name="Millares 32 8" xfId="624" xr:uid="{F3754328-8D35-462D-86AD-73B14213B931}"/>
    <cellStyle name="Millares 32 9" xfId="695" xr:uid="{8B29A78A-7E1A-4A8C-9F24-54CC1FA8ABF5}"/>
    <cellStyle name="Millares 33" xfId="148" xr:uid="{4C4CF3C7-34AD-42E2-84FB-563A126EE787}"/>
    <cellStyle name="Millares 33 10" xfId="767" xr:uid="{00948FC9-3077-46C9-91A8-3AE756403E39}"/>
    <cellStyle name="Millares 33 2" xfId="215" xr:uid="{EC1C8D04-EFC2-48CA-BEDA-C8316613DC0A}"/>
    <cellStyle name="Millares 33 3" xfId="282" xr:uid="{0E6C76F2-8FED-44E5-8AA4-D80B204C423E}"/>
    <cellStyle name="Millares 33 4" xfId="350" xr:uid="{B4300714-C3F9-4F09-9DBC-D948377D467B}"/>
    <cellStyle name="Millares 33 5" xfId="412" xr:uid="{94BF9230-DEB8-4DD1-9A56-9F2EB0B85F5C}"/>
    <cellStyle name="Millares 33 6" xfId="483" xr:uid="{C1E2E0A6-B989-409F-A416-3C91C0667AB7}"/>
    <cellStyle name="Millares 33 7" xfId="554" xr:uid="{21FB1D02-DFCD-43A4-B420-D9C392396AB7}"/>
    <cellStyle name="Millares 33 8" xfId="625" xr:uid="{57B35187-05AE-4CA9-9E86-2465261C621A}"/>
    <cellStyle name="Millares 33 9" xfId="696" xr:uid="{0566D377-5583-4544-B7C4-6D5C6FFBC436}"/>
    <cellStyle name="Millares 34" xfId="151" xr:uid="{3C736E00-5992-4710-98DE-2CC3AA79B92E}"/>
    <cellStyle name="Millares 34 2" xfId="218" xr:uid="{B8F4A2FC-A464-4504-A81F-451CCC35F971}"/>
    <cellStyle name="Millares 34 3" xfId="285" xr:uid="{3FDDA7F2-6E9D-4824-AEE6-DA08A43576B9}"/>
    <cellStyle name="Millares 34 4" xfId="416" xr:uid="{7C796901-66BD-4663-8BBD-4FC242DAC78D}"/>
    <cellStyle name="Millares 34 5" xfId="487" xr:uid="{0818DD73-0C3D-48DC-BAB3-F0E6486E4CEE}"/>
    <cellStyle name="Millares 34 6" xfId="558" xr:uid="{1D4FE776-082F-44E3-98EF-CD5D0B071681}"/>
    <cellStyle name="Millares 34 7" xfId="629" xr:uid="{1C5D9F83-52C3-4FF1-A207-A33A1AAF7129}"/>
    <cellStyle name="Millares 34 8" xfId="700" xr:uid="{8FD73F63-3E11-414B-B568-8CE94E500AA1}"/>
    <cellStyle name="Millares 34 9" xfId="771" xr:uid="{ACD32A4F-79D0-4D2A-ABF1-0CE5DB845A46}"/>
    <cellStyle name="Millares 35" xfId="154" xr:uid="{01F7FE7B-DDB3-48D1-AF10-185565F2C58C}"/>
    <cellStyle name="Millares 35 2" xfId="221" xr:uid="{8A8EB185-D84B-4BDF-AF2B-15779434894F}"/>
    <cellStyle name="Millares 35 3" xfId="288" xr:uid="{55367651-8074-4B69-8985-7119258D635D}"/>
    <cellStyle name="Millares 35 4" xfId="415" xr:uid="{0A05C707-2AB6-4978-B5E3-D712936854C6}"/>
    <cellStyle name="Millares 35 5" xfId="486" xr:uid="{B1342607-0B76-46FE-BB02-199731BCB780}"/>
    <cellStyle name="Millares 35 6" xfId="557" xr:uid="{5CB0C8B8-1DE9-44D3-BC51-D45E71777D86}"/>
    <cellStyle name="Millares 35 7" xfId="628" xr:uid="{E408CB87-995D-40F5-8CED-F4CF4BBA0C7F}"/>
    <cellStyle name="Millares 35 8" xfId="699" xr:uid="{D0DD695E-912B-4476-B125-D406CDCF1209}"/>
    <cellStyle name="Millares 35 9" xfId="770" xr:uid="{250E6341-B697-432A-8C6A-831B9AD56F95}"/>
    <cellStyle name="Millares 4" xfId="119" xr:uid="{89CC7E32-8081-4D42-A2DB-C92ACA21121A}"/>
    <cellStyle name="Millares 4 10" xfId="738" xr:uid="{F3159FD6-BE25-46DC-B107-CA8673CF1487}"/>
    <cellStyle name="Millares 4 2" xfId="186" xr:uid="{4854ADFB-AA9E-468C-87BF-6E6D5E29E337}"/>
    <cellStyle name="Millares 4 3" xfId="253" xr:uid="{E5D0F699-1922-4632-9701-37C0A0CCC80D}"/>
    <cellStyle name="Millares 4 4" xfId="321" xr:uid="{7F1FDC8D-2750-49F4-8850-C10EDF36FDF3}"/>
    <cellStyle name="Millares 4 5" xfId="383" xr:uid="{ACBC44D6-5B4C-4789-BCF1-77B62556D387}"/>
    <cellStyle name="Millares 4 6" xfId="454" xr:uid="{C2FD02BE-CBCB-4193-A66F-46D29798CD41}"/>
    <cellStyle name="Millares 4 7" xfId="525" xr:uid="{BF11FAB0-BC15-4E5E-A7D2-BB809779C5B7}"/>
    <cellStyle name="Millares 4 8" xfId="596" xr:uid="{99D984B5-F5D5-4E16-8A5C-B4D7E203B9A4}"/>
    <cellStyle name="Millares 4 9" xfId="667" xr:uid="{BD70E457-2790-4CB9-8275-01DDDBF70B0E}"/>
    <cellStyle name="Millares 5" xfId="121" xr:uid="{3585B719-E838-4DE9-96D7-07BF71BFBC32}"/>
    <cellStyle name="Millares 5 10" xfId="740" xr:uid="{BE48E160-6EB2-4125-87E9-1573638E1BF3}"/>
    <cellStyle name="Millares 5 2" xfId="188" xr:uid="{E76BCE83-F3E1-48C5-9B36-649E5288B3E6}"/>
    <cellStyle name="Millares 5 3" xfId="255" xr:uid="{96E2DB35-03DF-471C-B45A-22A8D4557DF5}"/>
    <cellStyle name="Millares 5 4" xfId="323" xr:uid="{4B45CC7C-1D9E-42C5-9C80-043923980115}"/>
    <cellStyle name="Millares 5 5" xfId="385" xr:uid="{29952888-468F-4FE1-9718-8BBC682810E2}"/>
    <cellStyle name="Millares 5 6" xfId="456" xr:uid="{D40F4136-98D6-4614-94F6-EC557C20E602}"/>
    <cellStyle name="Millares 5 7" xfId="527" xr:uid="{CD9461CE-8EF8-43BA-9109-8F47BAAC14F3}"/>
    <cellStyle name="Millares 5 8" xfId="598" xr:uid="{8E664062-9A66-4E22-8766-315CF4AD069D}"/>
    <cellStyle name="Millares 5 9" xfId="669" xr:uid="{21EB5B3C-9BAC-4155-8E7F-C1058F828A8C}"/>
    <cellStyle name="Millares 6" xfId="122" xr:uid="{CB0EFA23-B50F-4527-8D8D-EF2C9D5E633B}"/>
    <cellStyle name="Millares 6 10" xfId="741" xr:uid="{EBE7A2ED-E58D-495D-A90A-0D12849BC638}"/>
    <cellStyle name="Millares 6 2" xfId="189" xr:uid="{2A765C5C-12E9-4F65-A7CA-B1F8C987AF82}"/>
    <cellStyle name="Millares 6 3" xfId="256" xr:uid="{B2976750-196F-4CA6-9ACD-A5C4CE9A1AE5}"/>
    <cellStyle name="Millares 6 4" xfId="324" xr:uid="{54534860-B52F-477C-939C-C457F64FC1B0}"/>
    <cellStyle name="Millares 6 5" xfId="386" xr:uid="{8743F619-612A-435A-B419-C97B255CE89B}"/>
    <cellStyle name="Millares 6 6" xfId="457" xr:uid="{72D787FD-1B86-487B-B022-5D6AA8D366B5}"/>
    <cellStyle name="Millares 6 7" xfId="528" xr:uid="{F5658DE7-CE67-46FA-8AB5-75DADDE93F50}"/>
    <cellStyle name="Millares 6 8" xfId="599" xr:uid="{D66E5AFD-C4D6-4C62-8173-36CCA14ED5BB}"/>
    <cellStyle name="Millares 6 9" xfId="670" xr:uid="{D9423D6D-C119-43AE-BBB9-29784F3C408E}"/>
    <cellStyle name="Millares 7" xfId="123" xr:uid="{71900F71-A1D0-48A2-9D30-8672397AF5B9}"/>
    <cellStyle name="Millares 7 10" xfId="742" xr:uid="{D620FCDE-8E86-4D75-831E-5E4C153EA368}"/>
    <cellStyle name="Millares 7 2" xfId="190" xr:uid="{5F27CB3F-E196-4D03-9173-3416B0449266}"/>
    <cellStyle name="Millares 7 3" xfId="257" xr:uid="{DB72DF8D-ED74-44F1-A5C2-F21852807317}"/>
    <cellStyle name="Millares 7 4" xfId="325" xr:uid="{3880C84E-DC19-424A-B3E4-50E3B7E24CE9}"/>
    <cellStyle name="Millares 7 5" xfId="387" xr:uid="{A554CBC0-69E7-4E8B-BE8C-7D7358CEBB06}"/>
    <cellStyle name="Millares 7 6" xfId="458" xr:uid="{CB14ACDE-4C22-4394-A627-A569E0C9CB3C}"/>
    <cellStyle name="Millares 7 7" xfId="529" xr:uid="{00504192-A627-4E23-9659-AFDB803F268F}"/>
    <cellStyle name="Millares 7 8" xfId="600" xr:uid="{7BBA01E6-6D1F-4902-A784-89B57BF2ED1A}"/>
    <cellStyle name="Millares 7 9" xfId="671" xr:uid="{A06318EE-1BFB-4FFC-8A90-BAD3CB52B607}"/>
    <cellStyle name="Millares 8" xfId="124" xr:uid="{25CD18E0-CBAE-4A3B-821A-40A5613DE4C3}"/>
    <cellStyle name="Millares 8 10" xfId="743" xr:uid="{5002AA89-F7D4-4BBD-96DB-ACA094EDD2DD}"/>
    <cellStyle name="Millares 8 2" xfId="191" xr:uid="{A2406875-0025-48E5-ACD2-79ACEC4AC99E}"/>
    <cellStyle name="Millares 8 3" xfId="258" xr:uid="{824C2D4D-DB48-414D-BE13-44B5B9CD7EFD}"/>
    <cellStyle name="Millares 8 4" xfId="326" xr:uid="{8071A7D0-68E8-4C81-94B2-4988037DA185}"/>
    <cellStyle name="Millares 8 5" xfId="388" xr:uid="{6D3A94F1-BD5C-43C4-829B-EC1F54E63434}"/>
    <cellStyle name="Millares 8 6" xfId="459" xr:uid="{B18B59C6-E8CF-46FA-9CFE-56C80EB6C34B}"/>
    <cellStyle name="Millares 8 7" xfId="530" xr:uid="{D135976C-6A63-4C0E-A8F1-7C3DCE698010}"/>
    <cellStyle name="Millares 8 8" xfId="601" xr:uid="{2CF0A648-2E2E-4C46-AACD-E8CCE68356D3}"/>
    <cellStyle name="Millares 8 9" xfId="672" xr:uid="{8AAC16AE-642A-4AB7-B8C5-DDA0B9730DA2}"/>
    <cellStyle name="Millares 9" xfId="85" xr:uid="{15D59F3F-771F-4B45-9B13-AB2C780111B9}"/>
    <cellStyle name="Moneda [0] 2" xfId="45" xr:uid="{B5385758-7164-4A9B-95F0-BF16D9CF4546}"/>
    <cellStyle name="Moneda [0] 2 2" xfId="68" xr:uid="{15A03194-826B-4CA8-B59F-372827E7F690}"/>
    <cellStyle name="Moneda [0] 2 3" xfId="81" xr:uid="{093262F0-E989-45D8-A66B-55B628A6EBD5}"/>
    <cellStyle name="Moneda [0] 22" xfId="86" xr:uid="{90221FFE-3ECB-45C3-91E0-40A4F3883F64}"/>
    <cellStyle name="Moneda [0] 3" xfId="52" xr:uid="{966DB628-0467-4FD1-A694-7AB34D7D7255}"/>
    <cellStyle name="Moneda [0] 4" xfId="58" xr:uid="{7D9E84BF-40AF-4B4A-837F-6D89405D769A}"/>
    <cellStyle name="Moneda [0] 5" xfId="149" xr:uid="{3A70F9DB-0606-413A-B6C6-0584C93123F2}"/>
    <cellStyle name="Moneda [0] 5 10" xfId="768" xr:uid="{7C7F3A29-E295-4944-B836-D217149ADC87}"/>
    <cellStyle name="Moneda [0] 5 2" xfId="216" xr:uid="{69E2FEFC-B893-4336-A989-F6CA6DF3FE3F}"/>
    <cellStyle name="Moneda [0] 5 3" xfId="283" xr:uid="{BE392005-9CB6-4192-A01A-3481C4FF8CEB}"/>
    <cellStyle name="Moneda [0] 5 4" xfId="351" xr:uid="{3B6C44DD-F0D7-4664-BB44-DBD5B4DF15B7}"/>
    <cellStyle name="Moneda [0] 5 5" xfId="413" xr:uid="{DCD5F5C2-AD44-4341-A5A7-01BFF318C9E4}"/>
    <cellStyle name="Moneda [0] 5 6" xfId="484" xr:uid="{0FB23B13-8BBD-4CA2-B605-735AB75033EB}"/>
    <cellStyle name="Moneda [0] 5 7" xfId="555" xr:uid="{9D6A26E2-016F-4D0C-B67A-C586AAA2ED06}"/>
    <cellStyle name="Moneda [0] 5 8" xfId="626" xr:uid="{BF907B7A-4CC6-47EC-B4E3-E5D96575CBD3}"/>
    <cellStyle name="Moneda [0] 5 9" xfId="697" xr:uid="{636964A8-A634-49CF-9E0D-563061B240A7}"/>
    <cellStyle name="Moneda [0] 6" xfId="40" xr:uid="{88BC960B-CD14-4935-8810-CD9494CC034C}"/>
    <cellStyle name="Moneda 10" xfId="103" xr:uid="{5FF286AA-B5D1-4E21-A2D5-05E4B7AF1CBA}"/>
    <cellStyle name="Moneda 10 10" xfId="723" xr:uid="{8381D49E-A881-412E-980E-B24B3980C5C5}"/>
    <cellStyle name="Moneda 10 2" xfId="171" xr:uid="{CCD21C15-4272-4789-A5FE-6BAB0954528D}"/>
    <cellStyle name="Moneda 10 3" xfId="238" xr:uid="{768AFCF2-0B2B-456D-BED3-E6F77A6A2B9E}"/>
    <cellStyle name="Moneda 10 4" xfId="306" xr:uid="{D1254287-A647-4C26-A3C2-91F567945EFA}"/>
    <cellStyle name="Moneda 10 5" xfId="368" xr:uid="{466E328F-08AA-4948-B2BF-13FF51D438D0}"/>
    <cellStyle name="Moneda 10 6" xfId="439" xr:uid="{8BC42377-3239-4E1F-80F7-7EAE5D2F6072}"/>
    <cellStyle name="Moneda 10 7" xfId="510" xr:uid="{9DA57E4A-FE46-4FC8-AC4E-ED87B6EA6931}"/>
    <cellStyle name="Moneda 10 8" xfId="581" xr:uid="{709D1252-293E-49A2-B2C3-58439C765BC8}"/>
    <cellStyle name="Moneda 10 9" xfId="652" xr:uid="{74A576B4-4576-4174-A447-9ED98290C03C}"/>
    <cellStyle name="Moneda 11" xfId="3" xr:uid="{098432C4-8459-4AED-97A9-DAAD59043C91}"/>
    <cellStyle name="Moneda 11 10" xfId="653" xr:uid="{80498071-BBC3-4FD6-8ACA-26ED2E99BBCA}"/>
    <cellStyle name="Moneda 11 11" xfId="724" xr:uid="{C7A850BA-BC0A-4D86-B4BD-E3990CAF322B}"/>
    <cellStyle name="Moneda 11 2" xfId="104" xr:uid="{2157C600-B3B7-40BD-9482-37C27563D9E1}"/>
    <cellStyle name="Moneda 11 3" xfId="172" xr:uid="{FC5A5FB6-4552-4BC0-95AB-17DCA678DB85}"/>
    <cellStyle name="Moneda 11 4" xfId="239" xr:uid="{AD2D5C0E-9ACE-4868-B9C1-1790434AEB13}"/>
    <cellStyle name="Moneda 11 5" xfId="307" xr:uid="{D686B0D5-BDF6-4014-B79D-3D596F2C44EC}"/>
    <cellStyle name="Moneda 11 6" xfId="369" xr:uid="{5C6BC04D-6A70-445B-A516-1B074FC8EF27}"/>
    <cellStyle name="Moneda 11 7" xfId="440" xr:uid="{D9C3F1A1-CD0B-43E7-A8F4-8A37ED4FE61F}"/>
    <cellStyle name="Moneda 11 8" xfId="511" xr:uid="{6CBECE2B-7E6F-4B4E-9597-7BF58229DFBB}"/>
    <cellStyle name="Moneda 11 9" xfId="582" xr:uid="{9918FFCF-4088-4CA4-BF65-6C67CFD5EAEA}"/>
    <cellStyle name="Moneda 12" xfId="105" xr:uid="{2D45B389-BA46-42A0-9CDF-A7EADF8A7CC1}"/>
    <cellStyle name="Moneda 12 10" xfId="725" xr:uid="{130F5077-DE0B-4691-8E3C-574ECE6734BB}"/>
    <cellStyle name="Moneda 12 2" xfId="173" xr:uid="{1AE32560-4E33-4961-8B8B-FCEEC72C798D}"/>
    <cellStyle name="Moneda 12 3" xfId="240" xr:uid="{E2197612-0DDE-4847-BAFF-3576FD27FE42}"/>
    <cellStyle name="Moneda 12 4" xfId="308" xr:uid="{FF29EC0C-65B1-47D0-B26B-CF1651547AA8}"/>
    <cellStyle name="Moneda 12 5" xfId="370" xr:uid="{3E6B29DD-FBA8-4545-BF61-197663B6B02B}"/>
    <cellStyle name="Moneda 12 6" xfId="441" xr:uid="{6EB57E29-A361-4D37-BBAC-C258639C171E}"/>
    <cellStyle name="Moneda 12 7" xfId="512" xr:uid="{3FA63E55-A9A6-440F-BE57-0CCA2D43569B}"/>
    <cellStyle name="Moneda 12 8" xfId="583" xr:uid="{D97787FB-3A0E-4486-8CAD-66353402F376}"/>
    <cellStyle name="Moneda 12 9" xfId="654" xr:uid="{0DB4DA9D-94B3-45FC-A159-F055F69AC5E7}"/>
    <cellStyle name="Moneda 13" xfId="106" xr:uid="{5DB62D31-3F97-474F-B085-FA9253B39866}"/>
    <cellStyle name="Moneda 13 10" xfId="726" xr:uid="{DA7EC7AF-C27E-4D51-8D78-802CB12BA30D}"/>
    <cellStyle name="Moneda 13 2" xfId="174" xr:uid="{12E4C389-9871-45C1-A4AA-63BC84146700}"/>
    <cellStyle name="Moneda 13 3" xfId="241" xr:uid="{A53BC9AF-0197-4B19-B5C7-6AE4F971C99E}"/>
    <cellStyle name="Moneda 13 4" xfId="309" xr:uid="{9D89EDBA-7DE2-403F-88CA-66975DD74B19}"/>
    <cellStyle name="Moneda 13 5" xfId="371" xr:uid="{82A79104-0F38-48A2-815D-DFA0245B2635}"/>
    <cellStyle name="Moneda 13 6" xfId="442" xr:uid="{9020F5F5-4402-4E94-B49E-BEB087A8F036}"/>
    <cellStyle name="Moneda 13 7" xfId="513" xr:uid="{2FEF7665-62DF-49D7-A186-596F5B4E11C8}"/>
    <cellStyle name="Moneda 13 8" xfId="584" xr:uid="{D5D1DA37-3E55-49D1-A2BC-E5DDBDAF5EFC}"/>
    <cellStyle name="Moneda 13 9" xfId="655" xr:uid="{18DB6158-B8BF-4329-924E-AC33716A360A}"/>
    <cellStyle name="Moneda 14" xfId="107" xr:uid="{71A82A3A-342B-40A6-B128-880F2A5CBFBE}"/>
    <cellStyle name="Moneda 14 10" xfId="727" xr:uid="{327A9822-EEB0-45C1-87CF-203244951E59}"/>
    <cellStyle name="Moneda 14 2" xfId="175" xr:uid="{2F7B0E86-4243-4119-9FBB-195596BCB435}"/>
    <cellStyle name="Moneda 14 3" xfId="242" xr:uid="{D2CA8401-2BB0-4913-917B-44B2A37EE1FC}"/>
    <cellStyle name="Moneda 14 4" xfId="310" xr:uid="{92DB4CA2-5F68-47A1-A325-F225194BDD35}"/>
    <cellStyle name="Moneda 14 5" xfId="372" xr:uid="{10D19063-5840-4E97-B150-357C1568A882}"/>
    <cellStyle name="Moneda 14 6" xfId="443" xr:uid="{D7961847-1954-47E2-AAF7-B00D5A80E24C}"/>
    <cellStyle name="Moneda 14 7" xfId="514" xr:uid="{46D5E68A-715D-43AB-874F-A99C972D3AF4}"/>
    <cellStyle name="Moneda 14 8" xfId="585" xr:uid="{B78EE1EF-7837-4C24-A59D-27BCAA0C1E0A}"/>
    <cellStyle name="Moneda 14 9" xfId="656" xr:uid="{F91A15DB-A1C0-48E3-A750-3E5DBA5C98F2}"/>
    <cellStyle name="Moneda 15" xfId="108" xr:uid="{69F16960-5522-4946-8372-9605BF711CB1}"/>
    <cellStyle name="Moneda 15 10" xfId="728" xr:uid="{0F7D500B-4892-417A-8F95-55ED23D4CFD3}"/>
    <cellStyle name="Moneda 15 2" xfId="176" xr:uid="{914BD566-2589-4F53-8668-DDEE004F963A}"/>
    <cellStyle name="Moneda 15 3" xfId="243" xr:uid="{C8324F3A-D115-4CA4-ABFC-C545C2A4AF4C}"/>
    <cellStyle name="Moneda 15 4" xfId="311" xr:uid="{8CE87502-B6EE-45B2-874D-F9F461CA9C15}"/>
    <cellStyle name="Moneda 15 5" xfId="373" xr:uid="{DEEE363D-0FEB-459C-8BB6-39778525C2CB}"/>
    <cellStyle name="Moneda 15 6" xfId="444" xr:uid="{290E3561-EFAE-4CAB-9CFE-78E123204C13}"/>
    <cellStyle name="Moneda 15 7" xfId="515" xr:uid="{A957C5A7-733D-4704-963D-B0C64F5C3D94}"/>
    <cellStyle name="Moneda 15 8" xfId="586" xr:uid="{798FBB39-A90D-419C-9FB8-71D4A344A4E6}"/>
    <cellStyle name="Moneda 15 9" xfId="657" xr:uid="{8EA108A4-C09E-4A11-8EAD-926EE375AB5C}"/>
    <cellStyle name="Moneda 16" xfId="109" xr:uid="{676A4B01-F3D9-4E5D-A162-F28B4894A082}"/>
    <cellStyle name="Moneda 16 10" xfId="729" xr:uid="{1AEBC2F8-F236-4C23-B570-7DC151934628}"/>
    <cellStyle name="Moneda 16 2" xfId="177" xr:uid="{318D6C3F-F966-4658-96F7-87C8DDF4ED8E}"/>
    <cellStyle name="Moneda 16 3" xfId="244" xr:uid="{3E371647-F844-4E6C-94F7-211E19400F39}"/>
    <cellStyle name="Moneda 16 4" xfId="312" xr:uid="{6A3F63FE-0FFE-496B-8054-85615222D91D}"/>
    <cellStyle name="Moneda 16 5" xfId="374" xr:uid="{4E476FBE-B37B-45C4-9176-AF028A3AF71C}"/>
    <cellStyle name="Moneda 16 6" xfId="445" xr:uid="{A190CD12-3E03-4834-B693-3B0831B13695}"/>
    <cellStyle name="Moneda 16 7" xfId="516" xr:uid="{02881BBF-85DF-45CA-975D-A4C07A9850C8}"/>
    <cellStyle name="Moneda 16 8" xfId="587" xr:uid="{5D7B8C8F-1B52-42A5-82C1-E88F30BC5CC3}"/>
    <cellStyle name="Moneda 16 9" xfId="658" xr:uid="{53B139CF-2CD3-42A1-8E18-0F4C4BB19DBF}"/>
    <cellStyle name="Moneda 17" xfId="110" xr:uid="{85EBB1F7-7EF7-4C21-B5D5-FE16BC558598}"/>
    <cellStyle name="Moneda 17 10" xfId="730" xr:uid="{88C98E0B-663B-42DF-8855-A9A7A346CE39}"/>
    <cellStyle name="Moneda 17 2" xfId="178" xr:uid="{4D5C2B15-5A8B-4D23-A81C-D5791C431D21}"/>
    <cellStyle name="Moneda 17 3" xfId="245" xr:uid="{F747F9FC-3551-4E8C-84E8-D6843B30F0A9}"/>
    <cellStyle name="Moneda 17 4" xfId="313" xr:uid="{6934EFE4-D2B6-4110-9AAC-E71D73ADD975}"/>
    <cellStyle name="Moneda 17 5" xfId="375" xr:uid="{203FEBAD-B0A7-46AE-ABE3-BED7D9C0CFA1}"/>
    <cellStyle name="Moneda 17 6" xfId="446" xr:uid="{3755F85D-096B-4A30-9BCC-DEA402B70A87}"/>
    <cellStyle name="Moneda 17 7" xfId="517" xr:uid="{662FC4E7-3CA9-4EC5-A581-64BFF9AA16E2}"/>
    <cellStyle name="Moneda 17 8" xfId="588" xr:uid="{C06ACB35-04BF-4DEE-AF03-3B14C560F3FD}"/>
    <cellStyle name="Moneda 17 9" xfId="659" xr:uid="{0C25D666-9EF6-43DA-BF9D-85F333F42E8E}"/>
    <cellStyle name="Moneda 18" xfId="111" xr:uid="{681D3780-6BC5-469A-B304-247A2C0419C6}"/>
    <cellStyle name="Moneda 18 10" xfId="731" xr:uid="{A6406E3A-BF03-471A-9612-8DA4833E90F1}"/>
    <cellStyle name="Moneda 18 2" xfId="179" xr:uid="{8D2B1E19-05FF-4D01-B7BE-50DFA61E8F41}"/>
    <cellStyle name="Moneda 18 3" xfId="246" xr:uid="{7EF304D4-CA91-4D3A-906C-AFAA0A2768F6}"/>
    <cellStyle name="Moneda 18 4" xfId="314" xr:uid="{61E015C2-7CC7-461C-8026-FD312B5C1C6C}"/>
    <cellStyle name="Moneda 18 5" xfId="376" xr:uid="{8F640285-76A5-4818-842B-9BC7A83A71AA}"/>
    <cellStyle name="Moneda 18 6" xfId="447" xr:uid="{A6F5010B-7244-4CEE-9D3D-1EB8653D64C8}"/>
    <cellStyle name="Moneda 18 7" xfId="518" xr:uid="{2E0F1AAD-0BC4-421C-876D-E96532940B38}"/>
    <cellStyle name="Moneda 18 8" xfId="589" xr:uid="{1D56EC12-953F-40CF-A4B9-1BE9B862DC94}"/>
    <cellStyle name="Moneda 18 9" xfId="660" xr:uid="{808F973A-67E0-4617-8EF5-0F79EBD9162A}"/>
    <cellStyle name="Moneda 19" xfId="112" xr:uid="{F7028D6F-6AF7-4A6B-A088-192840B764ED}"/>
    <cellStyle name="Moneda 19 10" xfId="732" xr:uid="{FDB05600-2F8D-438E-B656-508D68D91481}"/>
    <cellStyle name="Moneda 19 2" xfId="180" xr:uid="{4EF99BFF-260F-4AE9-B7AB-359CFCC19DF6}"/>
    <cellStyle name="Moneda 19 3" xfId="247" xr:uid="{4A4E2A97-6C25-40AF-AA2F-ED50BB07005A}"/>
    <cellStyle name="Moneda 19 4" xfId="315" xr:uid="{D448266A-FB95-4BF8-8E06-DB58BD2735B6}"/>
    <cellStyle name="Moneda 19 5" xfId="377" xr:uid="{EDCC4080-62F8-4AF3-B871-DECA0BDE562A}"/>
    <cellStyle name="Moneda 19 6" xfId="448" xr:uid="{DD3FDD2E-59C1-422A-9F9B-2682273D2781}"/>
    <cellStyle name="Moneda 19 7" xfId="519" xr:uid="{AD893CA9-0F02-4F89-9AF7-6B42AD3A59B4}"/>
    <cellStyle name="Moneda 19 8" xfId="590" xr:uid="{B1AF97AD-28BB-4AFB-93A3-A5C7F28A48C8}"/>
    <cellStyle name="Moneda 19 9" xfId="661" xr:uid="{7FAD11D4-3BF5-431C-BF99-E028BC7A71BA}"/>
    <cellStyle name="Moneda 2" xfId="48" xr:uid="{8BA11D53-E638-4CC6-88C8-1A6ABFC82BF5}"/>
    <cellStyle name="Moneda 2 2" xfId="71" xr:uid="{B34A5DD1-A1BC-4205-AE1E-BF3FB2B11861}"/>
    <cellStyle name="Moneda 2 3" xfId="80" xr:uid="{BB410413-F4EA-4461-95C7-9DD7A6BF7B83}"/>
    <cellStyle name="Moneda 2 4" xfId="150" xr:uid="{475B0929-E621-4A6D-9904-57F423C36B58}"/>
    <cellStyle name="Moneda 2 4 10" xfId="769" xr:uid="{BD1FA432-77EC-4065-BE53-E446D6555E89}"/>
    <cellStyle name="Moneda 2 4 2" xfId="217" xr:uid="{87D2E748-A258-4053-A086-BC8360AC73E8}"/>
    <cellStyle name="Moneda 2 4 3" xfId="284" xr:uid="{D7C06330-854D-417B-A6A7-840F902EA049}"/>
    <cellStyle name="Moneda 2 4 4" xfId="352" xr:uid="{92138349-0F6B-479F-B87C-3679B53B4372}"/>
    <cellStyle name="Moneda 2 4 5" xfId="414" xr:uid="{DEA0330C-94BA-4003-B034-67D90EBACC86}"/>
    <cellStyle name="Moneda 2 4 6" xfId="485" xr:uid="{AE8B4DA6-F394-4807-B118-8C04DD0EF5DC}"/>
    <cellStyle name="Moneda 2 4 7" xfId="556" xr:uid="{32ACD488-A786-4D28-A24D-75C93B9E260E}"/>
    <cellStyle name="Moneda 2 4 8" xfId="627" xr:uid="{49D6753A-9A93-4C5D-86EB-304B872B003A}"/>
    <cellStyle name="Moneda 2 4 9" xfId="698" xr:uid="{95BDEDDA-E48A-4460-AC25-BB7B544718F4}"/>
    <cellStyle name="Moneda 2 5" xfId="153" xr:uid="{DE2717BA-D3D9-4FE4-B92C-B58732F0BCBA}"/>
    <cellStyle name="Moneda 2 5 2" xfId="220" xr:uid="{F657E98A-5650-4714-B9F2-9E2FDB47098E}"/>
    <cellStyle name="Moneda 2 5 3" xfId="287" xr:uid="{F6B67D8B-1F61-41A0-B60A-2BA2B65B0EF7}"/>
    <cellStyle name="Moneda 20" xfId="113" xr:uid="{3592D478-68BD-4AA5-B425-0CB18E888F48}"/>
    <cellStyle name="Moneda 20 10" xfId="733" xr:uid="{798F67D9-FBFD-48D4-AA5F-B453D8711026}"/>
    <cellStyle name="Moneda 20 2" xfId="181" xr:uid="{FA027A68-AB29-4128-A6F8-0F617316361C}"/>
    <cellStyle name="Moneda 20 3" xfId="248" xr:uid="{6920381C-481D-49AE-8BDE-CA99879BF459}"/>
    <cellStyle name="Moneda 20 4" xfId="316" xr:uid="{8608C7CE-3B59-469E-96C3-9B7CF4434280}"/>
    <cellStyle name="Moneda 20 5" xfId="378" xr:uid="{5405A510-37BB-40A8-84FF-0BB9F4024069}"/>
    <cellStyle name="Moneda 20 6" xfId="449" xr:uid="{98C61541-FC0A-43FA-9FDB-3FD3350D4FAD}"/>
    <cellStyle name="Moneda 20 7" xfId="520" xr:uid="{9F3682C0-0006-4CE2-86EF-C3FAEA669DF8}"/>
    <cellStyle name="Moneda 20 8" xfId="591" xr:uid="{360AE343-33D4-4D84-BCB9-F87FD28A9CE7}"/>
    <cellStyle name="Moneda 20 9" xfId="662" xr:uid="{36A4D3C9-28F6-4CF0-BF04-7B3340E52D3F}"/>
    <cellStyle name="Moneda 21" xfId="84" xr:uid="{4CE78F18-A225-4FAE-BF93-686156F7C289}"/>
    <cellStyle name="Moneda 22" xfId="114" xr:uid="{0EB0882E-BFE1-46E9-B005-6920218C4DCD}"/>
    <cellStyle name="Moneda 22 10" xfId="734" xr:uid="{41E0AC6E-D15F-4F0C-B028-D68D2407F774}"/>
    <cellStyle name="Moneda 22 2" xfId="182" xr:uid="{836267AD-1594-4B58-A61B-7975D12417DC}"/>
    <cellStyle name="Moneda 22 3" xfId="249" xr:uid="{C775D342-43D9-4F62-AC27-31B52116BC04}"/>
    <cellStyle name="Moneda 22 4" xfId="317" xr:uid="{5C2DCABD-5A27-4968-9468-F5C4E0BBAE7F}"/>
    <cellStyle name="Moneda 22 5" xfId="379" xr:uid="{539255E1-0C3E-4581-A1F4-4DAFB2C91484}"/>
    <cellStyle name="Moneda 22 6" xfId="450" xr:uid="{FAC02446-E5F8-4851-841D-C85EB58B10B4}"/>
    <cellStyle name="Moneda 22 7" xfId="521" xr:uid="{ADE86645-1155-4D53-BB6B-49FC597F44CA}"/>
    <cellStyle name="Moneda 22 8" xfId="592" xr:uid="{7E1EA4E7-3914-4C76-A8A6-3228C78584AA}"/>
    <cellStyle name="Moneda 22 9" xfId="663" xr:uid="{21855123-A3D8-43E9-9872-F442E532CCF5}"/>
    <cellStyle name="Moneda 23" xfId="115" xr:uid="{2CBDAF23-8BC3-41A4-B6C4-1041E9095980}"/>
    <cellStyle name="Moneda 23 10" xfId="735" xr:uid="{369951C5-2A43-4A23-83CB-B2DC6565829E}"/>
    <cellStyle name="Moneda 23 2" xfId="183" xr:uid="{203F03E9-BCF3-4A8C-B00C-4360786003F3}"/>
    <cellStyle name="Moneda 23 3" xfId="250" xr:uid="{89D72073-E7D4-4283-91C9-FBBB9EE91D3A}"/>
    <cellStyle name="Moneda 23 4" xfId="318" xr:uid="{8E371505-D066-411B-B85A-9F6AE9F80E4B}"/>
    <cellStyle name="Moneda 23 5" xfId="380" xr:uid="{19814B04-A0A1-4539-B15E-B5CD2926D5A4}"/>
    <cellStyle name="Moneda 23 6" xfId="451" xr:uid="{9D6E5A23-FDBD-4C93-983B-8A466B63C4CF}"/>
    <cellStyle name="Moneda 23 7" xfId="522" xr:uid="{B18B1E05-F857-4E0C-9A63-115B13C0623B}"/>
    <cellStyle name="Moneda 23 8" xfId="593" xr:uid="{945AC1D4-824E-4DCF-A4E4-0326717292D7}"/>
    <cellStyle name="Moneda 23 9" xfId="664" xr:uid="{39CB8109-D7BE-46F5-949C-8BDB8AD3FC7E}"/>
    <cellStyle name="Moneda 24" xfId="116" xr:uid="{C5E4FDDA-B615-4E64-B9D9-B3C7AEE4D9A6}"/>
    <cellStyle name="Moneda 24 10" xfId="736" xr:uid="{1844E38A-5C20-4058-95A7-64AE207CF098}"/>
    <cellStyle name="Moneda 24 2" xfId="184" xr:uid="{E8053E43-210B-4B41-A1DC-6706430997C2}"/>
    <cellStyle name="Moneda 24 3" xfId="251" xr:uid="{D1CCF4B8-064F-45F9-B934-A0844AB159AD}"/>
    <cellStyle name="Moneda 24 4" xfId="319" xr:uid="{5B888B19-26CD-4C50-B84A-0658F5ED7E9F}"/>
    <cellStyle name="Moneda 24 5" xfId="381" xr:uid="{F16D191F-9D52-41C1-A039-76FAAEFB11D3}"/>
    <cellStyle name="Moneda 24 6" xfId="452" xr:uid="{BB2FC803-F5D5-4CA4-B35B-CECC8985014B}"/>
    <cellStyle name="Moneda 24 7" xfId="523" xr:uid="{9BCF88C5-8CF0-4301-9213-C92383677741}"/>
    <cellStyle name="Moneda 24 8" xfId="594" xr:uid="{D7834D63-F0B1-463A-A8CA-7DD759FE73DA}"/>
    <cellStyle name="Moneda 24 9" xfId="665" xr:uid="{CDB313D3-DB68-4A67-BC78-86CC267F377F}"/>
    <cellStyle name="Moneda 25" xfId="117" xr:uid="{956A74EC-CAD4-4FEB-83E4-D1F7BACD2A8E}"/>
    <cellStyle name="Moneda 25 10" xfId="737" xr:uid="{58313183-DFFA-4DAE-95C6-9C66CAE65E4C}"/>
    <cellStyle name="Moneda 25 2" xfId="185" xr:uid="{3CCB7F95-F316-4CC8-B3C1-0FBB33D555A4}"/>
    <cellStyle name="Moneda 25 3" xfId="252" xr:uid="{692307BA-2756-4848-AB0B-1BEEB7B385D6}"/>
    <cellStyle name="Moneda 25 4" xfId="320" xr:uid="{2AECE6D5-18C2-4E41-B6C0-3A7F7CC083BE}"/>
    <cellStyle name="Moneda 25 5" xfId="382" xr:uid="{36C10DBD-ABE1-4158-866A-DE602466DCE8}"/>
    <cellStyle name="Moneda 25 6" xfId="453" xr:uid="{15429AED-C9EE-47DA-AF85-C8758D806E75}"/>
    <cellStyle name="Moneda 25 7" xfId="524" xr:uid="{F7B570F6-E9CB-4FBE-B72A-1663D20EF6FC}"/>
    <cellStyle name="Moneda 25 8" xfId="595" xr:uid="{35850AF4-FF2E-4539-8464-A55199BC8620}"/>
    <cellStyle name="Moneda 25 9" xfId="666" xr:uid="{350B2723-9C2B-4CF8-833D-69C76695E7F2}"/>
    <cellStyle name="Moneda 26" xfId="152" xr:uid="{3F83880D-C5BC-4C90-8989-FA2AA7EE087D}"/>
    <cellStyle name="Moneda 26 2" xfId="219" xr:uid="{2FCB6509-04C8-4B8C-AB15-41D2A9586A13}"/>
    <cellStyle name="Moneda 26 3" xfId="286" xr:uid="{8425C0DA-A69F-47D0-AD71-E53AB731853D}"/>
    <cellStyle name="Moneda 26 4" xfId="420" xr:uid="{592669BB-B4D5-4C02-B252-D038B113891E}"/>
    <cellStyle name="Moneda 26 5" xfId="491" xr:uid="{F7B18AE5-AB5F-4810-9991-5AD5D8C02B55}"/>
    <cellStyle name="Moneda 26 6" xfId="562" xr:uid="{EF237F77-E38A-436D-8FEC-2FC61367F784}"/>
    <cellStyle name="Moneda 26 7" xfId="633" xr:uid="{50B65F2B-1C7A-479C-82D8-01A0037A95F8}"/>
    <cellStyle name="Moneda 26 8" xfId="704" xr:uid="{289B677B-21B5-4589-A94C-B978176918FD}"/>
    <cellStyle name="Moneda 26 9" xfId="775" xr:uid="{D0759FA3-B8F4-4C15-953F-0C363899E9F3}"/>
    <cellStyle name="Moneda 27" xfId="155" xr:uid="{6BC2DC63-1423-4917-9C1D-20A1A815A90D}"/>
    <cellStyle name="Moneda 27 2" xfId="222" xr:uid="{EBEF14C3-DCC5-4F32-8507-A7FEF205BE55}"/>
    <cellStyle name="Moneda 27 3" xfId="289" xr:uid="{150FF12E-D8A3-4878-BD59-19792C887ABE}"/>
    <cellStyle name="Moneda 28" xfId="55" xr:uid="{7C146D22-A435-4720-8219-07B7975BBE77}"/>
    <cellStyle name="Moneda 29" xfId="156" xr:uid="{420B8311-34E6-4F71-B103-88627A3D0E0A}"/>
    <cellStyle name="Moneda 3" xfId="57" xr:uid="{E9826186-7424-4712-8AF5-B0E66FC8DF52}"/>
    <cellStyle name="Moneda 3 10" xfId="640" xr:uid="{0B103201-1ADF-4BC1-9CC7-68A693E14DEE}"/>
    <cellStyle name="Moneda 3 11" xfId="711" xr:uid="{996852F2-7FCA-4494-9166-716FFE7D59EA}"/>
    <cellStyle name="Moneda 3 2" xfId="73" xr:uid="{BD42B9BB-B823-4677-BA8D-52540409F98B}"/>
    <cellStyle name="Moneda 3 2 10" xfId="716" xr:uid="{570A7B20-6113-4C69-8DE8-7E6FE43EFCF9}"/>
    <cellStyle name="Moneda 3 2 2" xfId="164" xr:uid="{E2CA8040-AB77-4AB3-911F-E4C6A794F3D4}"/>
    <cellStyle name="Moneda 3 2 3" xfId="231" xr:uid="{49EAF309-F216-44C9-8CB0-B0192A6CBADD}"/>
    <cellStyle name="Moneda 3 2 4" xfId="299" xr:uid="{9EAF7C26-37EF-4E55-96E7-F18A05747DBC}"/>
    <cellStyle name="Moneda 3 2 5" xfId="361" xr:uid="{810DFAA1-EC00-4DD1-AD7F-7DF04DBD7D5E}"/>
    <cellStyle name="Moneda 3 2 6" xfId="432" xr:uid="{CFA21E5E-CDEC-4F02-8C2E-1F1969CE24A0}"/>
    <cellStyle name="Moneda 3 2 7" xfId="503" xr:uid="{F4227B5C-1294-4BC2-89C0-BC042460E860}"/>
    <cellStyle name="Moneda 3 2 8" xfId="574" xr:uid="{6FC5091F-69B2-4E03-B854-0F7A231E4DC2}"/>
    <cellStyle name="Moneda 3 2 9" xfId="645" xr:uid="{F28DD097-A7DA-461B-8F07-4C91FEFE4DB6}"/>
    <cellStyle name="Moneda 3 3" xfId="159" xr:uid="{BB101917-5D30-4064-B651-A9701C7E6792}"/>
    <cellStyle name="Moneda 3 4" xfId="226" xr:uid="{9E2D0A95-D297-44F0-A067-B3284453BE76}"/>
    <cellStyle name="Moneda 3 5" xfId="294" xr:uid="{C4154A12-9D44-4EBC-9C0E-F2BE405CEE87}"/>
    <cellStyle name="Moneda 3 6" xfId="356" xr:uid="{10BF4D91-8E50-4D79-927D-6AB5D69E6C39}"/>
    <cellStyle name="Moneda 3 7" xfId="427" xr:uid="{111DFD6D-8B9C-448B-8C23-0A0C202EE5B1}"/>
    <cellStyle name="Moneda 3 8" xfId="498" xr:uid="{5C1AB9E7-59BB-4139-B7D3-515EFF70A95E}"/>
    <cellStyle name="Moneda 3 9" xfId="569" xr:uid="{F9C58D29-B13E-419C-B50F-808AC21399A7}"/>
    <cellStyle name="Moneda 30" xfId="223" xr:uid="{8A0005CB-FAF4-43D6-A59C-7D1D9DE88A33}"/>
    <cellStyle name="Moneda 31" xfId="95" xr:uid="{8D89F7D3-5970-4449-9605-E212D0D37C83}"/>
    <cellStyle name="Moneda 32" xfId="291" xr:uid="{204DC7D8-FAEA-4041-ACD2-2D60AF287CB7}"/>
    <cellStyle name="Moneda 33" xfId="353" xr:uid="{DE698B16-829B-4FE9-9851-BF7E1F49E57A}"/>
    <cellStyle name="Moneda 34" xfId="424" xr:uid="{F8319F34-FD40-414E-8E07-A6E21A91C191}"/>
    <cellStyle name="Moneda 35" xfId="495" xr:uid="{EB1AAFD9-AFF9-4ACF-B350-6DD5F899B66F}"/>
    <cellStyle name="Moneda 36" xfId="566" xr:uid="{0794D98E-457F-4CC1-88EC-452FFDDA55A4}"/>
    <cellStyle name="Moneda 37" xfId="637" xr:uid="{EE19185E-A05E-42D4-BDAA-67F0D96C3626}"/>
    <cellStyle name="Moneda 38" xfId="708" xr:uid="{3D6CDEA1-37E6-4BD0-91F3-1702C349BEC1}"/>
    <cellStyle name="Moneda 4" xfId="96" xr:uid="{15E318D7-F9E9-4AE8-8E7C-CC2F6FBCA257}"/>
    <cellStyle name="Moneda 5" xfId="98" xr:uid="{3B707993-02E9-41D7-BC2E-8D37FC175490}"/>
    <cellStyle name="Moneda 5 10" xfId="718" xr:uid="{C129BC76-5A49-482F-95AC-5F3F56A6D987}"/>
    <cellStyle name="Moneda 5 2" xfId="166" xr:uid="{CF70C7F0-E6B3-466D-8553-3712BDCE1CDC}"/>
    <cellStyle name="Moneda 5 3" xfId="233" xr:uid="{8C8D2A1C-CEBB-4B44-A2C7-7BDDFFDC8642}"/>
    <cellStyle name="Moneda 5 4" xfId="301" xr:uid="{7DDDB6F4-9C27-4655-B897-06038F8B5164}"/>
    <cellStyle name="Moneda 5 5" xfId="363" xr:uid="{6820DD50-F35E-49B4-AA53-475ACA305E5A}"/>
    <cellStyle name="Moneda 5 6" xfId="434" xr:uid="{D2FA108C-1FBD-4183-A479-8AC81173AFF5}"/>
    <cellStyle name="Moneda 5 7" xfId="505" xr:uid="{65506514-9648-4E99-808E-D05119CE7285}"/>
    <cellStyle name="Moneda 5 8" xfId="576" xr:uid="{23C3E83D-8B33-4B05-8078-D75F4AB71470}"/>
    <cellStyle name="Moneda 5 9" xfId="647" xr:uid="{742E4517-29C0-4F9C-BC48-24282A5AE81D}"/>
    <cellStyle name="Moneda 53" xfId="118" xr:uid="{FEAA8A90-1A79-42C3-884D-212A4FDDF61D}"/>
    <cellStyle name="Moneda 6" xfId="99" xr:uid="{F1986A73-2583-4B5E-BC62-7A01234A1E60}"/>
    <cellStyle name="Moneda 6 10" xfId="719" xr:uid="{E7DCC6A4-5252-42B9-9499-4D6EB65308BA}"/>
    <cellStyle name="Moneda 6 2" xfId="167" xr:uid="{CC071ADD-776C-48CA-AFC7-F569AA6629D7}"/>
    <cellStyle name="Moneda 6 3" xfId="234" xr:uid="{24D12B1C-ABAA-49E6-BF7D-B06B883C4B72}"/>
    <cellStyle name="Moneda 6 4" xfId="302" xr:uid="{62AA360D-843A-43C3-8612-44706A2D8FBB}"/>
    <cellStyle name="Moneda 6 5" xfId="364" xr:uid="{A4E6435C-E4A5-4349-BB43-30F68A68F9E6}"/>
    <cellStyle name="Moneda 6 6" xfId="435" xr:uid="{158031A2-038F-493A-8339-B09932B78466}"/>
    <cellStyle name="Moneda 6 7" xfId="506" xr:uid="{E40C95BD-D53A-4A76-A433-80F737584E09}"/>
    <cellStyle name="Moneda 6 8" xfId="577" xr:uid="{7A6B491C-93AB-4AD2-AC9F-E85C59D62ECB}"/>
    <cellStyle name="Moneda 6 9" xfId="648" xr:uid="{26648A03-8B5E-484F-A624-0E6D284836F4}"/>
    <cellStyle name="Moneda 7" xfId="100" xr:uid="{497D5A00-8F93-46EC-B7D3-3578E852E2CA}"/>
    <cellStyle name="Moneda 7 10" xfId="720" xr:uid="{ED333602-5FB5-4A44-9E0F-E77E44B7DFFD}"/>
    <cellStyle name="Moneda 7 2" xfId="168" xr:uid="{E6CCAEB7-57B2-488C-8CE5-00C0691F187B}"/>
    <cellStyle name="Moneda 7 3" xfId="235" xr:uid="{D94D8FF1-E1F7-4E59-871C-3450EF42063F}"/>
    <cellStyle name="Moneda 7 4" xfId="303" xr:uid="{605570E2-C5FE-4C7D-96EE-4ED43B5C3882}"/>
    <cellStyle name="Moneda 7 5" xfId="365" xr:uid="{A32FBA20-8C50-4FEE-A9A7-DB847AF4FFF6}"/>
    <cellStyle name="Moneda 7 6" xfId="436" xr:uid="{33C8BB3F-0B2F-41C7-AC06-493C4197E276}"/>
    <cellStyle name="Moneda 7 7" xfId="507" xr:uid="{D78FD539-4BB6-4A37-A8D9-4F3CEC1F79AC}"/>
    <cellStyle name="Moneda 7 8" xfId="578" xr:uid="{BD8F9A46-E05F-4E8F-90B9-3991C9A23AE4}"/>
    <cellStyle name="Moneda 7 9" xfId="649" xr:uid="{C3EFFD89-5F2B-411B-BC99-A82AAFECE04B}"/>
    <cellStyle name="Moneda 8" xfId="101" xr:uid="{16E14FD5-765D-4808-9AFD-75C040BBD013}"/>
    <cellStyle name="Moneda 8 10" xfId="721" xr:uid="{822AEAB9-384D-4BCA-9A58-F2E9E3E9A73A}"/>
    <cellStyle name="Moneda 8 2" xfId="169" xr:uid="{A6AD287B-F546-4372-A79A-9907929DC16D}"/>
    <cellStyle name="Moneda 8 3" xfId="236" xr:uid="{77DE5C30-1BC1-4CC6-9075-CC7C74A936FA}"/>
    <cellStyle name="Moneda 8 4" xfId="304" xr:uid="{3CCDFCBC-9ED1-470D-9D6C-C4D9827787B9}"/>
    <cellStyle name="Moneda 8 5" xfId="366" xr:uid="{3EB76422-ABAF-4D30-9731-72C72852A487}"/>
    <cellStyle name="Moneda 8 6" xfId="437" xr:uid="{33FE3AD9-C2C2-4A6F-ABA7-172262D5CE48}"/>
    <cellStyle name="Moneda 8 7" xfId="508" xr:uid="{D0600D29-7B18-47B7-B616-9B57504F51FC}"/>
    <cellStyle name="Moneda 8 8" xfId="579" xr:uid="{58406CDB-25F6-469A-8F07-2CDB22F4D6BA}"/>
    <cellStyle name="Moneda 8 9" xfId="650" xr:uid="{A1947012-E688-43AD-929B-F610963B80BD}"/>
    <cellStyle name="Moneda 9" xfId="102" xr:uid="{A6AC78EB-C9F7-4797-8A64-FDB32081E22A}"/>
    <cellStyle name="Moneda 9 10" xfId="722" xr:uid="{A4DE29E1-CBF9-4684-A421-2394C5470DA1}"/>
    <cellStyle name="Moneda 9 2" xfId="170" xr:uid="{5E8E924C-4EE1-4D8F-A5A0-B25184384D3E}"/>
    <cellStyle name="Moneda 9 3" xfId="237" xr:uid="{0BBF9872-BB2F-4F28-8659-59A896F021D4}"/>
    <cellStyle name="Moneda 9 4" xfId="305" xr:uid="{A88F7C24-D913-4BF3-9A2F-66AD773C01C5}"/>
    <cellStyle name="Moneda 9 5" xfId="367" xr:uid="{032029AA-8268-4484-80C2-67D22A8FE2FC}"/>
    <cellStyle name="Moneda 9 6" xfId="438" xr:uid="{2728A7CF-3D46-4BD8-BBFF-F64FD08C3085}"/>
    <cellStyle name="Moneda 9 7" xfId="509" xr:uid="{C112201E-EACD-48CB-A1EC-DE5418778524}"/>
    <cellStyle name="Moneda 9 8" xfId="580" xr:uid="{E9A69D2A-B98E-4F86-A090-30549797E82E}"/>
    <cellStyle name="Moneda 9 9" xfId="651" xr:uid="{4D88BAB5-DC37-4E6E-AC65-B067665B367D}"/>
    <cellStyle name="Neutral 2" xfId="88" xr:uid="{79DB00A0-97D3-4FB0-B63D-DF7BC9EC3CDF}"/>
    <cellStyle name="Normal" xfId="0" builtinId="0"/>
    <cellStyle name="Normal 10" xfId="66" xr:uid="{F95847D6-CC3A-4DD6-8D6D-2F8F708D6291}"/>
    <cellStyle name="Normal 11" xfId="79" xr:uid="{CC9BEF2B-51FD-4AF8-9380-69E5E19449C5}"/>
    <cellStyle name="Normal 12" xfId="97" xr:uid="{DE41F9A5-6641-4F77-A009-F71098C82CFB}"/>
    <cellStyle name="Normal 13" xfId="5" xr:uid="{95F6DAD0-060B-4C67-9C2E-160778557E58}"/>
    <cellStyle name="Normal 2" xfId="44" xr:uid="{D7318E9B-5040-4BE0-8300-52A5F0240889}"/>
    <cellStyle name="Normal 2 2" xfId="41" xr:uid="{4AF1EB63-1FEC-4048-9B75-E3CF0BAE98BB}"/>
    <cellStyle name="Normal 2 2 2" xfId="50" xr:uid="{A4B2861A-6A6A-4FA7-AEDC-5EC38247150A}"/>
    <cellStyle name="Normal 2 3" xfId="51" xr:uid="{1E45DC94-C454-465B-94BF-04EFF3ED0CA8}"/>
    <cellStyle name="Normal 2 4" xfId="49" xr:uid="{BA0FF051-D9BA-4ABD-8B53-93170AF877C2}"/>
    <cellStyle name="Normal 2 5" xfId="59" xr:uid="{5D150A45-B6BB-489C-AF4E-FD8B22868236}"/>
    <cellStyle name="Normal 2 6" xfId="4" xr:uid="{2FB4EBFA-AD8C-4805-BB07-2D1947E4B486}"/>
    <cellStyle name="Normal 22" xfId="82" xr:uid="{29015FE2-0A20-4549-A818-DF57B94CB06F}"/>
    <cellStyle name="Normal 3" xfId="53" xr:uid="{7C93FD6F-A338-4EB4-A9F4-50C287CBD485}"/>
    <cellStyle name="Normal 4" xfId="54" xr:uid="{5549D666-4519-415F-B227-A4C8BF85CAA3}"/>
    <cellStyle name="Normal 4 2" xfId="61" xr:uid="{8ED39F26-4505-4D18-860E-F00C6FCF9D39}"/>
    <cellStyle name="Normal 5" xfId="56" xr:uid="{DBB388E0-5729-4971-BC10-17C3F7602AED}"/>
    <cellStyle name="Normal 6" xfId="62" xr:uid="{AF09F94B-3E3A-471B-822F-A7744B1A60FF}"/>
    <cellStyle name="Normal 6 2" xfId="75" xr:uid="{9A7E43A7-07B2-4A17-84BA-08AAA8E97E5C}"/>
    <cellStyle name="Normal 7" xfId="63" xr:uid="{C00D7540-28E1-43DA-AADA-FEE010A19696}"/>
    <cellStyle name="Normal 7 2" xfId="76" xr:uid="{0289B0DD-B9B0-42E8-BDA1-DC09A5221051}"/>
    <cellStyle name="Normal 8" xfId="64" xr:uid="{ADC6B988-A554-457B-AFEB-02AB37EF753B}"/>
    <cellStyle name="Normal 8 2" xfId="77" xr:uid="{5F103199-EB11-466A-A73A-AE00029AA688}"/>
    <cellStyle name="Normal 9" xfId="65" xr:uid="{A9F1B941-FF6E-40CA-9D82-2ED3CDF35707}"/>
    <cellStyle name="Normal 9 2" xfId="78" xr:uid="{EC5A03A9-98E0-454A-BAFE-B5B9227B96EF}"/>
    <cellStyle name="Note" xfId="18" builtinId="10" customBuiltin="1"/>
    <cellStyle name="Output" xfId="13" builtinId="21" customBuiltin="1"/>
    <cellStyle name="Percent" xfId="2" builtinId="5"/>
    <cellStyle name="Porcentaje 2" xfId="43" xr:uid="{F20CE337-3801-4C0D-B5B2-64C79CB602CF}"/>
    <cellStyle name="Porcentaje 21" xfId="83" xr:uid="{B653E9EA-F6DB-43B9-8D44-7B969D39D9DA}"/>
    <cellStyle name="Porcentaje 3" xfId="46" xr:uid="{08BDD0F7-BC98-4507-A813-6D590CA4B8D4}"/>
    <cellStyle name="Porcentaje 3 2" xfId="69" xr:uid="{5846F33D-02F1-4328-AB45-692279E00B6D}"/>
    <cellStyle name="Título 4" xfId="87" xr:uid="{A716D187-389B-49EB-8AF6-E8B99B896097}"/>
    <cellStyle name="Total" xfId="20" builtinId="25" customBuiltin="1"/>
    <cellStyle name="Warning Text" xfId="17" builtinId="11" customBuiltin="1"/>
  </cellStyles>
  <dxfs count="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9933"/>
      <color rgb="FFFF9900"/>
      <color rgb="FFFFFFCC"/>
      <color rgb="FFFFCC00"/>
      <color rgb="FFFFFF99"/>
      <color rgb="FFCC99FF"/>
      <color rgb="FFCCFF99"/>
      <color rgb="FFCCFFCC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3</xdr:row>
          <xdr:rowOff>31750</xdr:rowOff>
        </xdr:from>
        <xdr:to>
          <xdr:col>7</xdr:col>
          <xdr:colOff>203200</xdr:colOff>
          <xdr:row>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82550</xdr:colOff>
          <xdr:row>11</xdr:row>
          <xdr:rowOff>38100</xdr:rowOff>
        </xdr:from>
        <xdr:to>
          <xdr:col>7</xdr:col>
          <xdr:colOff>95250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BASTIAN%20SUAREZ/Documents/JOB/Dashboard%20KPI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ennya/Desktop/VENTAS%20(EMPALME)/VENTAS/2020/INFORMACION%20PARA%20ANALISIS%20PROYECTO%202020/ANALISIS%20VENTAS%202018%20-%202019%20PROYECTO%20202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ennya/Desktop/VENTAS%20(EMPALME)/VENTAS/2020/PRESUPUESTO%20GENERAL%202020/PRESUPUESTO%20BOGOTA%202020%20(JN%2013.01.20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hboard Comercial"/>
      <sheetName val="KPI Comercial"/>
      <sheetName val="Dashboard Fin"/>
      <sheetName val="KPI Finanzas"/>
      <sheetName val="Dashboard Dig"/>
      <sheetName val="KR Digital"/>
      <sheetName val="Dashboard RRHH"/>
      <sheetName val="KPI RRHH "/>
      <sheetName val="Dashboard Estrategia"/>
      <sheetName val="KPI Estrategi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G ACUM"/>
      <sheetName val="PPTO 2020 (ZONAS)"/>
      <sheetName val="Vta 2019"/>
      <sheetName val="PPTO 2020 (CM 22.01.20)"/>
      <sheetName val="ENE-FEB"/>
      <sheetName val="Hoja1"/>
    </sheetNames>
    <sheetDataSet>
      <sheetData sheetId="0"/>
      <sheetData sheetId="1">
        <row r="6">
          <cell r="D6" t="str">
            <v>C.O.</v>
          </cell>
          <cell r="E6" t="str">
            <v>Almacén</v>
          </cell>
          <cell r="F6" t="str">
            <v>01  Enero</v>
          </cell>
          <cell r="G6" t="str">
            <v>02  Febrero</v>
          </cell>
          <cell r="H6" t="str">
            <v>03  Marzo</v>
          </cell>
          <cell r="I6" t="str">
            <v>04  Abril</v>
          </cell>
          <cell r="J6" t="str">
            <v>05  Mayo</v>
          </cell>
          <cell r="K6" t="str">
            <v>06  Junio</v>
          </cell>
          <cell r="L6" t="str">
            <v>07  Julio</v>
          </cell>
          <cell r="M6" t="str">
            <v>08  Agosto</v>
          </cell>
          <cell r="N6" t="str">
            <v>09  Septiembre</v>
          </cell>
          <cell r="O6" t="str">
            <v>10  Octubre</v>
          </cell>
          <cell r="P6" t="str">
            <v>11  Noviembre</v>
          </cell>
          <cell r="Q6" t="str">
            <v>12  Diciembre</v>
          </cell>
          <cell r="R6" t="str">
            <v>Total general</v>
          </cell>
        </row>
        <row r="7">
          <cell r="D7" t="str">
            <v>200</v>
          </cell>
          <cell r="E7" t="str">
            <v>200 T.KOAJ VENTURA TERREROS II</v>
          </cell>
          <cell r="F7">
            <v>96121262.385823756</v>
          </cell>
          <cell r="G7">
            <v>61888000</v>
          </cell>
          <cell r="H7">
            <v>75294000</v>
          </cell>
          <cell r="I7">
            <v>70483000</v>
          </cell>
          <cell r="J7">
            <v>81815000</v>
          </cell>
          <cell r="K7">
            <v>114055000</v>
          </cell>
          <cell r="L7">
            <v>135508000</v>
          </cell>
          <cell r="M7">
            <v>90867000</v>
          </cell>
          <cell r="N7">
            <v>102032000</v>
          </cell>
          <cell r="O7">
            <v>96804000</v>
          </cell>
          <cell r="P7">
            <v>139234000</v>
          </cell>
          <cell r="Q7">
            <v>387511000</v>
          </cell>
          <cell r="R7">
            <v>1447680000</v>
          </cell>
        </row>
        <row r="8">
          <cell r="D8" t="str">
            <v>179</v>
          </cell>
          <cell r="E8" t="str">
            <v>179 TIENDA KOAJ BOSA</v>
          </cell>
          <cell r="F8">
            <v>261990932.41645035</v>
          </cell>
          <cell r="G8">
            <v>221540000</v>
          </cell>
          <cell r="H8">
            <v>269529000</v>
          </cell>
          <cell r="I8">
            <v>252305000</v>
          </cell>
          <cell r="J8">
            <v>292872000</v>
          </cell>
          <cell r="K8">
            <v>408279000</v>
          </cell>
          <cell r="L8">
            <v>485075000</v>
          </cell>
          <cell r="M8">
            <v>325273000</v>
          </cell>
          <cell r="N8">
            <v>365241000</v>
          </cell>
          <cell r="O8">
            <v>346527000</v>
          </cell>
          <cell r="P8">
            <v>498412000</v>
          </cell>
          <cell r="Q8">
            <v>1387163000</v>
          </cell>
          <cell r="R8">
            <v>5182222267.0673332</v>
          </cell>
        </row>
        <row r="9">
          <cell r="D9" t="str">
            <v>194</v>
          </cell>
          <cell r="E9" t="str">
            <v>194 T.KOAJ VENTURA TERREROS</v>
          </cell>
          <cell r="F9">
            <v>340993397.64215732</v>
          </cell>
          <cell r="G9">
            <v>209096000</v>
          </cell>
          <cell r="H9">
            <v>254390000</v>
          </cell>
          <cell r="I9">
            <v>238134000</v>
          </cell>
          <cell r="J9">
            <v>276422000</v>
          </cell>
          <cell r="K9">
            <v>385346000</v>
          </cell>
          <cell r="L9">
            <v>457829000</v>
          </cell>
          <cell r="M9">
            <v>307003000</v>
          </cell>
          <cell r="N9">
            <v>344726000</v>
          </cell>
          <cell r="O9">
            <v>327063000</v>
          </cell>
          <cell r="P9">
            <v>470417000</v>
          </cell>
          <cell r="Q9">
            <v>1309248000</v>
          </cell>
          <cell r="R9">
            <v>4891144469.7336922</v>
          </cell>
        </row>
        <row r="10">
          <cell r="D10" t="str">
            <v>192</v>
          </cell>
          <cell r="E10" t="str">
            <v>192 T.KOAJ GRAN PLAZA SOACHA</v>
          </cell>
          <cell r="F10">
            <v>273223510.41062665</v>
          </cell>
          <cell r="G10">
            <v>203285000</v>
          </cell>
          <cell r="H10">
            <v>247321000</v>
          </cell>
          <cell r="I10">
            <v>231516000</v>
          </cell>
          <cell r="J10">
            <v>268740000</v>
          </cell>
          <cell r="K10">
            <v>374638000</v>
          </cell>
          <cell r="L10">
            <v>445106000</v>
          </cell>
          <cell r="M10">
            <v>298471000</v>
          </cell>
          <cell r="N10">
            <v>335146000</v>
          </cell>
          <cell r="O10">
            <v>317974000</v>
          </cell>
          <cell r="P10">
            <v>457344000</v>
          </cell>
          <cell r="Q10">
            <v>1272865000</v>
          </cell>
          <cell r="R10">
            <v>4755223386.7414627</v>
          </cell>
        </row>
        <row r="11">
          <cell r="D11" t="str">
            <v>094</v>
          </cell>
          <cell r="E11" t="str">
            <v xml:space="preserve">094 T. KOAJ GRAN PLAZA BOSA </v>
          </cell>
          <cell r="F11">
            <v>282759108.06011868</v>
          </cell>
          <cell r="G11">
            <v>219902000</v>
          </cell>
          <cell r="H11">
            <v>267537000</v>
          </cell>
          <cell r="I11">
            <v>250441000</v>
          </cell>
          <cell r="J11">
            <v>290708000</v>
          </cell>
          <cell r="K11">
            <v>405262000</v>
          </cell>
          <cell r="L11">
            <v>481490000</v>
          </cell>
          <cell r="M11">
            <v>322869000</v>
          </cell>
          <cell r="N11">
            <v>362542000</v>
          </cell>
          <cell r="O11">
            <v>343966000</v>
          </cell>
          <cell r="P11">
            <v>494729000</v>
          </cell>
          <cell r="Q11">
            <v>1376913000</v>
          </cell>
          <cell r="R11">
            <v>5143928361.3994799</v>
          </cell>
        </row>
        <row r="12">
          <cell r="D12" t="str">
            <v>180</v>
          </cell>
          <cell r="E12" t="str">
            <v>180 TIENDA KOAJ MERCURIO</v>
          </cell>
          <cell r="F12">
            <v>600777481.61720228</v>
          </cell>
          <cell r="G12">
            <v>448510000</v>
          </cell>
          <cell r="H12">
            <v>545665000</v>
          </cell>
          <cell r="I12">
            <v>510796000</v>
          </cell>
          <cell r="J12">
            <v>592923000</v>
          </cell>
          <cell r="K12">
            <v>826566000</v>
          </cell>
          <cell r="L12">
            <v>982040000</v>
          </cell>
          <cell r="M12">
            <v>658520000</v>
          </cell>
          <cell r="N12">
            <v>739435000</v>
          </cell>
          <cell r="O12">
            <v>701549000</v>
          </cell>
          <cell r="P12">
            <v>1009042000</v>
          </cell>
          <cell r="Q12">
            <v>2808331000</v>
          </cell>
          <cell r="R12">
            <v>10491480853.323921</v>
          </cell>
        </row>
        <row r="13">
          <cell r="D13" t="str">
            <v>009</v>
          </cell>
          <cell r="E13" t="str">
            <v>009 TIENDA KOAJ GALERIAS</v>
          </cell>
          <cell r="F13">
            <v>319343837.11022925</v>
          </cell>
          <cell r="G13">
            <v>194005000</v>
          </cell>
          <cell r="H13">
            <v>236030000</v>
          </cell>
          <cell r="I13">
            <v>220947000</v>
          </cell>
          <cell r="J13">
            <v>256471000</v>
          </cell>
          <cell r="K13">
            <v>357534000</v>
          </cell>
          <cell r="L13">
            <v>424785000</v>
          </cell>
          <cell r="M13">
            <v>284845000</v>
          </cell>
          <cell r="N13">
            <v>319845000</v>
          </cell>
          <cell r="O13">
            <v>303458000</v>
          </cell>
          <cell r="P13">
            <v>436465000</v>
          </cell>
          <cell r="Q13">
            <v>1214754000</v>
          </cell>
          <cell r="R13">
            <v>4538129616.7848597</v>
          </cell>
        </row>
        <row r="14">
          <cell r="D14" t="str">
            <v>097</v>
          </cell>
          <cell r="E14" t="str">
            <v>097 T. KOAJ GRAN PLAZA ENSUEÑO</v>
          </cell>
          <cell r="F14">
            <v>335499012.59229273</v>
          </cell>
          <cell r="G14">
            <v>229237000</v>
          </cell>
          <cell r="H14">
            <v>278894000</v>
          </cell>
          <cell r="I14">
            <v>261072000</v>
          </cell>
          <cell r="J14">
            <v>303048000</v>
          </cell>
          <cell r="K14">
            <v>422465000</v>
          </cell>
          <cell r="L14">
            <v>501929000</v>
          </cell>
          <cell r="M14">
            <v>336575000</v>
          </cell>
          <cell r="N14">
            <v>377931000</v>
          </cell>
          <cell r="O14">
            <v>358568000</v>
          </cell>
          <cell r="P14">
            <v>515730000</v>
          </cell>
          <cell r="Q14">
            <v>1435362000</v>
          </cell>
          <cell r="R14">
            <v>5362286356.6444063</v>
          </cell>
        </row>
        <row r="15">
          <cell r="D15" t="str">
            <v>042</v>
          </cell>
          <cell r="E15" t="str">
            <v>042 TIENDA KOAJ CENTRO MAYOR</v>
          </cell>
          <cell r="F15">
            <v>1015711428.2003524</v>
          </cell>
          <cell r="G15">
            <v>843414000</v>
          </cell>
          <cell r="H15">
            <v>1026112000</v>
          </cell>
          <cell r="I15">
            <v>960541000</v>
          </cell>
          <cell r="J15">
            <v>1114980000</v>
          </cell>
          <cell r="K15">
            <v>1554340000</v>
          </cell>
          <cell r="L15">
            <v>1846706000</v>
          </cell>
          <cell r="M15">
            <v>1238332000</v>
          </cell>
          <cell r="N15">
            <v>1390492000</v>
          </cell>
          <cell r="O15">
            <v>1319248000</v>
          </cell>
          <cell r="P15">
            <v>1897482000</v>
          </cell>
          <cell r="Q15">
            <v>5281008000</v>
          </cell>
          <cell r="R15">
            <v>19729014424.147739</v>
          </cell>
        </row>
        <row r="16">
          <cell r="D16" t="str">
            <v>096</v>
          </cell>
          <cell r="E16" t="str">
            <v>096 TIENDA KOAJ LA VICTORIA</v>
          </cell>
          <cell r="F16">
            <v>117052944.11743489</v>
          </cell>
          <cell r="G16">
            <v>116314000</v>
          </cell>
          <cell r="H16">
            <v>141510000</v>
          </cell>
          <cell r="I16">
            <v>132467000</v>
          </cell>
          <cell r="J16">
            <v>153765000</v>
          </cell>
          <cell r="K16">
            <v>214357000</v>
          </cell>
          <cell r="L16">
            <v>254677000</v>
          </cell>
          <cell r="M16">
            <v>170777000</v>
          </cell>
          <cell r="N16">
            <v>191761000</v>
          </cell>
          <cell r="O16">
            <v>181936000</v>
          </cell>
          <cell r="P16">
            <v>261679000</v>
          </cell>
          <cell r="Q16">
            <v>728297000</v>
          </cell>
          <cell r="R16">
            <v>2720802626.8276348</v>
          </cell>
        </row>
        <row r="17">
          <cell r="D17" t="str">
            <v>111</v>
          </cell>
          <cell r="E17" t="str">
            <v>111 TIENDA KOAJ TUNAL</v>
          </cell>
          <cell r="F17">
            <v>257228938.54157212</v>
          </cell>
          <cell r="G17">
            <v>170308071.81400001</v>
          </cell>
          <cell r="H17">
            <v>136904534.71912</v>
          </cell>
          <cell r="I17">
            <v>140402820</v>
          </cell>
          <cell r="J17">
            <v>153871552.00000006</v>
          </cell>
          <cell r="K17">
            <v>229840590.64000002</v>
          </cell>
          <cell r="L17">
            <v>280083060</v>
          </cell>
          <cell r="M17">
            <v>171255876.40000001</v>
          </cell>
          <cell r="N17">
            <v>206976412</v>
          </cell>
          <cell r="O17">
            <v>187764928</v>
          </cell>
          <cell r="P17">
            <v>246270935.20000002</v>
          </cell>
          <cell r="Q17">
            <v>671613607.20000005</v>
          </cell>
          <cell r="R17">
            <v>2852521326.5146923</v>
          </cell>
        </row>
        <row r="18">
          <cell r="D18" t="str">
            <v>095</v>
          </cell>
          <cell r="E18" t="str">
            <v>095 T.KOAJ VEINTE DE JULIO</v>
          </cell>
          <cell r="F18">
            <v>213164531.58681232</v>
          </cell>
          <cell r="G18">
            <v>161712000</v>
          </cell>
          <cell r="H18">
            <v>196742000</v>
          </cell>
          <cell r="I18">
            <v>184170000</v>
          </cell>
          <cell r="J18">
            <v>213781000</v>
          </cell>
          <cell r="K18">
            <v>298022000</v>
          </cell>
          <cell r="L18">
            <v>354079000</v>
          </cell>
          <cell r="M18">
            <v>237432000</v>
          </cell>
          <cell r="N18">
            <v>266606000</v>
          </cell>
          <cell r="O18">
            <v>252946000</v>
          </cell>
          <cell r="P18">
            <v>363814000</v>
          </cell>
          <cell r="Q18">
            <v>1012555000</v>
          </cell>
          <cell r="R18">
            <v>3782746922.9642901</v>
          </cell>
        </row>
        <row r="19">
          <cell r="D19" t="str">
            <v>159</v>
          </cell>
          <cell r="E19" t="str">
            <v>159 TIENDA KOAJ RESTREPO</v>
          </cell>
          <cell r="F19">
            <v>744114271.24435186</v>
          </cell>
          <cell r="G19">
            <v>523982000</v>
          </cell>
          <cell r="H19">
            <v>637486000</v>
          </cell>
          <cell r="I19">
            <v>596749000</v>
          </cell>
          <cell r="J19">
            <v>692696000</v>
          </cell>
          <cell r="K19">
            <v>965654000</v>
          </cell>
          <cell r="L19">
            <v>1147291000</v>
          </cell>
          <cell r="M19">
            <v>769330000</v>
          </cell>
          <cell r="N19">
            <v>863861000</v>
          </cell>
          <cell r="O19">
            <v>819600000</v>
          </cell>
          <cell r="P19">
            <v>1178836000</v>
          </cell>
          <cell r="Q19">
            <v>3280896000</v>
          </cell>
          <cell r="R19">
            <v>12256912212.656929</v>
          </cell>
        </row>
        <row r="20">
          <cell r="D20" t="str">
            <v>178</v>
          </cell>
          <cell r="E20" t="str">
            <v>178 T.KOAJ PLAZA AMERICAS 2</v>
          </cell>
          <cell r="F20">
            <v>313741092.99616599</v>
          </cell>
          <cell r="G20">
            <v>192458000</v>
          </cell>
          <cell r="H20">
            <v>234148000</v>
          </cell>
          <cell r="I20">
            <v>219186000</v>
          </cell>
          <cell r="J20">
            <v>254427000</v>
          </cell>
          <cell r="K20">
            <v>354684000</v>
          </cell>
          <cell r="L20">
            <v>421399000</v>
          </cell>
          <cell r="M20">
            <v>282575000</v>
          </cell>
          <cell r="N20">
            <v>317296000</v>
          </cell>
          <cell r="O20">
            <v>301039000</v>
          </cell>
          <cell r="P20">
            <v>432986000</v>
          </cell>
          <cell r="Q20">
            <v>1205072000</v>
          </cell>
          <cell r="R20">
            <v>4501957409.0714302</v>
          </cell>
        </row>
        <row r="21">
          <cell r="D21" t="str">
            <v>090</v>
          </cell>
          <cell r="E21" t="str">
            <v>090 TIENDA KOAJ KENNEDY 2</v>
          </cell>
          <cell r="F21">
            <v>376024335.11098909</v>
          </cell>
          <cell r="G21">
            <v>338743000</v>
          </cell>
          <cell r="H21">
            <v>412121000</v>
          </cell>
          <cell r="I21">
            <v>385786000</v>
          </cell>
          <cell r="J21">
            <v>447814000</v>
          </cell>
          <cell r="K21">
            <v>624275000</v>
          </cell>
          <cell r="L21">
            <v>741700000</v>
          </cell>
          <cell r="M21">
            <v>497356000</v>
          </cell>
          <cell r="N21">
            <v>558469000</v>
          </cell>
          <cell r="O21">
            <v>529855000</v>
          </cell>
          <cell r="P21">
            <v>762093000</v>
          </cell>
          <cell r="Q21">
            <v>2121032000</v>
          </cell>
          <cell r="R21">
            <v>7923840393.5449495</v>
          </cell>
        </row>
        <row r="22">
          <cell r="D22" t="str">
            <v>079</v>
          </cell>
          <cell r="E22" t="str">
            <v>079 T.KOAJ PLAZA AMERICAS 1</v>
          </cell>
          <cell r="F22">
            <v>554110522.13838267</v>
          </cell>
          <cell r="G22">
            <v>430691000</v>
          </cell>
          <cell r="H22">
            <v>523986000</v>
          </cell>
          <cell r="I22">
            <v>490502000</v>
          </cell>
          <cell r="J22">
            <v>569367000</v>
          </cell>
          <cell r="K22">
            <v>793727000</v>
          </cell>
          <cell r="L22">
            <v>943024000</v>
          </cell>
          <cell r="M22">
            <v>632357000</v>
          </cell>
          <cell r="N22">
            <v>710057000</v>
          </cell>
          <cell r="O22">
            <v>673677000</v>
          </cell>
          <cell r="P22">
            <v>968953000</v>
          </cell>
          <cell r="Q22">
            <v>2696757000</v>
          </cell>
          <cell r="R22">
            <v>10074660634.876509</v>
          </cell>
        </row>
        <row r="23">
          <cell r="D23" t="str">
            <v>199</v>
          </cell>
          <cell r="E23" t="str">
            <v>199 TIENDA KOAJ EL EDEN</v>
          </cell>
          <cell r="F23">
            <v>251641674.29382291</v>
          </cell>
          <cell r="G23">
            <v>167118000</v>
          </cell>
          <cell r="H23">
            <v>203319000</v>
          </cell>
          <cell r="I23">
            <v>190326000</v>
          </cell>
          <cell r="J23">
            <v>220927000</v>
          </cell>
          <cell r="K23">
            <v>307984000</v>
          </cell>
          <cell r="L23">
            <v>365915000</v>
          </cell>
          <cell r="M23">
            <v>245369000</v>
          </cell>
          <cell r="N23">
            <v>275519000</v>
          </cell>
          <cell r="O23">
            <v>261402000</v>
          </cell>
          <cell r="P23">
            <v>375976000</v>
          </cell>
          <cell r="Q23">
            <v>1046404000</v>
          </cell>
          <cell r="R23">
            <v>3909200000</v>
          </cell>
        </row>
        <row r="24">
          <cell r="D24" t="str">
            <v>177</v>
          </cell>
          <cell r="E24" t="str">
            <v>177 TIENDA KOAJ FONTIBON</v>
          </cell>
          <cell r="F24">
            <v>579210157.87506795</v>
          </cell>
          <cell r="G24">
            <v>413250000</v>
          </cell>
          <cell r="H24">
            <v>502767000</v>
          </cell>
          <cell r="I24">
            <v>470639000</v>
          </cell>
          <cell r="J24">
            <v>546310000</v>
          </cell>
          <cell r="K24">
            <v>761584000</v>
          </cell>
          <cell r="L24">
            <v>904835000</v>
          </cell>
          <cell r="M24">
            <v>606749000</v>
          </cell>
          <cell r="N24">
            <v>681303000</v>
          </cell>
          <cell r="O24">
            <v>646395000</v>
          </cell>
          <cell r="P24">
            <v>929714000</v>
          </cell>
          <cell r="Q24">
            <v>2587549000</v>
          </cell>
          <cell r="R24">
            <v>9666674426.5518608</v>
          </cell>
        </row>
        <row r="25">
          <cell r="D25" t="str">
            <v>073</v>
          </cell>
          <cell r="E25" t="str">
            <v>073 TIENDA KOAJ BOSA PORVENIR</v>
          </cell>
          <cell r="F25">
            <v>298271869.09014654</v>
          </cell>
          <cell r="G25">
            <v>205566000</v>
          </cell>
          <cell r="H25">
            <v>250096000</v>
          </cell>
          <cell r="I25">
            <v>234114000</v>
          </cell>
          <cell r="J25">
            <v>271756000</v>
          </cell>
          <cell r="K25">
            <v>378841000</v>
          </cell>
          <cell r="L25">
            <v>450100000</v>
          </cell>
          <cell r="M25">
            <v>301820000</v>
          </cell>
          <cell r="N25">
            <v>338906000</v>
          </cell>
          <cell r="O25">
            <v>321542000</v>
          </cell>
          <cell r="P25">
            <v>462476000</v>
          </cell>
          <cell r="Q25">
            <v>1287147000</v>
          </cell>
          <cell r="R25">
            <v>4808579237.4064217</v>
          </cell>
        </row>
        <row r="26">
          <cell r="D26" t="str">
            <v>068</v>
          </cell>
          <cell r="E26" t="str">
            <v xml:space="preserve">068 TIENDA KOAJ HAYUELOS </v>
          </cell>
          <cell r="F26">
            <v>386832184.27317202</v>
          </cell>
          <cell r="G26">
            <v>270992000</v>
          </cell>
          <cell r="H26">
            <v>329694000</v>
          </cell>
          <cell r="I26">
            <v>308626000</v>
          </cell>
          <cell r="J26">
            <v>358248000</v>
          </cell>
          <cell r="K26">
            <v>499416000</v>
          </cell>
          <cell r="L26">
            <v>593354000</v>
          </cell>
          <cell r="M26">
            <v>397881000</v>
          </cell>
          <cell r="N26">
            <v>446771000</v>
          </cell>
          <cell r="O26">
            <v>423880000</v>
          </cell>
          <cell r="P26">
            <v>609669000</v>
          </cell>
          <cell r="Q26">
            <v>1696810000</v>
          </cell>
          <cell r="R26">
            <v>6339014252.3843889</v>
          </cell>
        </row>
        <row r="27">
          <cell r="D27" t="str">
            <v>070</v>
          </cell>
          <cell r="E27" t="str">
            <v>070 TIENDA KOAJ TINTAL</v>
          </cell>
          <cell r="F27">
            <v>514338875.61085457</v>
          </cell>
          <cell r="G27">
            <v>313320000</v>
          </cell>
          <cell r="H27">
            <v>381190000</v>
          </cell>
          <cell r="I27">
            <v>356831000</v>
          </cell>
          <cell r="J27">
            <v>414204000</v>
          </cell>
          <cell r="K27">
            <v>577422000</v>
          </cell>
          <cell r="L27">
            <v>686033000</v>
          </cell>
          <cell r="M27">
            <v>460028000</v>
          </cell>
          <cell r="N27">
            <v>516554000</v>
          </cell>
          <cell r="O27">
            <v>490087000</v>
          </cell>
          <cell r="P27">
            <v>704896000</v>
          </cell>
          <cell r="Q27">
            <v>1961842000</v>
          </cell>
          <cell r="R27">
            <v>7329132421.5341482</v>
          </cell>
        </row>
        <row r="28">
          <cell r="D28" t="str">
            <v>003</v>
          </cell>
          <cell r="E28" t="str">
            <v>003 TIENDA KOAJ PUNTO 4</v>
          </cell>
          <cell r="F28">
            <v>221847769.09738362</v>
          </cell>
          <cell r="G28">
            <v>105268000</v>
          </cell>
          <cell r="H28">
            <v>128071000</v>
          </cell>
          <cell r="I28">
            <v>119887000</v>
          </cell>
          <cell r="J28">
            <v>139163000</v>
          </cell>
          <cell r="K28">
            <v>194000000</v>
          </cell>
          <cell r="L28">
            <v>230491000</v>
          </cell>
          <cell r="M28">
            <v>154559000</v>
          </cell>
          <cell r="N28">
            <v>173550000</v>
          </cell>
          <cell r="O28">
            <v>164658000</v>
          </cell>
          <cell r="P28">
            <v>236828000</v>
          </cell>
          <cell r="Q28">
            <v>659133000</v>
          </cell>
          <cell r="R28">
            <v>2462416086.899354</v>
          </cell>
        </row>
        <row r="29">
          <cell r="D29" t="str">
            <v>002</v>
          </cell>
          <cell r="E29" t="str">
            <v>002 TIENDA KOAJ PUNTO 2</v>
          </cell>
          <cell r="F29">
            <v>170630696.41386014</v>
          </cell>
          <cell r="G29">
            <v>117525000</v>
          </cell>
          <cell r="H29">
            <v>142984000</v>
          </cell>
          <cell r="I29">
            <v>133847000</v>
          </cell>
          <cell r="J29">
            <v>155367000</v>
          </cell>
          <cell r="K29">
            <v>216589000</v>
          </cell>
          <cell r="L29">
            <v>257329000</v>
          </cell>
          <cell r="M29">
            <v>172555000</v>
          </cell>
          <cell r="N29">
            <v>193758000</v>
          </cell>
          <cell r="O29">
            <v>183831000</v>
          </cell>
          <cell r="P29">
            <v>264405000</v>
          </cell>
          <cell r="Q29">
            <v>735882000</v>
          </cell>
          <cell r="R29">
            <v>2749138080.8970947</v>
          </cell>
        </row>
        <row r="30">
          <cell r="D30" t="str">
            <v>139</v>
          </cell>
          <cell r="E30" t="str">
            <v>139 TIENDA KOAJ CARRERA 62 A</v>
          </cell>
          <cell r="F30">
            <v>449222817.96054924</v>
          </cell>
          <cell r="G30">
            <v>289918000</v>
          </cell>
          <cell r="H30">
            <v>352719000</v>
          </cell>
          <cell r="I30">
            <v>330180000</v>
          </cell>
          <cell r="J30">
            <v>383267000</v>
          </cell>
          <cell r="K30">
            <v>534294000</v>
          </cell>
          <cell r="L30">
            <v>634793000</v>
          </cell>
          <cell r="M30">
            <v>425669000</v>
          </cell>
          <cell r="N30">
            <v>477972000</v>
          </cell>
          <cell r="O30">
            <v>453483000</v>
          </cell>
          <cell r="P30">
            <v>652247000</v>
          </cell>
          <cell r="Q30">
            <v>1815311000</v>
          </cell>
          <cell r="R30">
            <v>6781717465.8248272</v>
          </cell>
        </row>
        <row r="31">
          <cell r="D31" t="str">
            <v>081</v>
          </cell>
          <cell r="E31" t="str">
            <v>081 TIENDA KOAJ K-60</v>
          </cell>
          <cell r="F31">
            <v>1220269154.1165195</v>
          </cell>
          <cell r="G31">
            <v>731011000</v>
          </cell>
          <cell r="H31">
            <v>889361000</v>
          </cell>
          <cell r="I31">
            <v>832528000</v>
          </cell>
          <cell r="J31">
            <v>966385000</v>
          </cell>
          <cell r="K31">
            <v>1347190000</v>
          </cell>
          <cell r="L31">
            <v>1600593000</v>
          </cell>
          <cell r="M31">
            <v>1073298000</v>
          </cell>
          <cell r="N31">
            <v>1205179000</v>
          </cell>
          <cell r="O31">
            <v>1143430000</v>
          </cell>
          <cell r="P31">
            <v>1644602000</v>
          </cell>
          <cell r="Q31">
            <v>4577201000</v>
          </cell>
          <cell r="R31">
            <v>17099699976.692245</v>
          </cell>
        </row>
        <row r="32">
          <cell r="D32" t="str">
            <v>189</v>
          </cell>
          <cell r="E32" t="str">
            <v>189 TIENDA KOAJ MONTEVIDEO</v>
          </cell>
          <cell r="F32">
            <v>205108228.66196251</v>
          </cell>
          <cell r="G32">
            <v>132758000</v>
          </cell>
          <cell r="H32">
            <v>161516000</v>
          </cell>
          <cell r="I32">
            <v>151194000</v>
          </cell>
          <cell r="J32">
            <v>175504000</v>
          </cell>
          <cell r="K32">
            <v>244661000</v>
          </cell>
          <cell r="L32">
            <v>290681000</v>
          </cell>
          <cell r="M32">
            <v>194920000</v>
          </cell>
          <cell r="N32">
            <v>218871000</v>
          </cell>
          <cell r="O32">
            <v>207657000</v>
          </cell>
          <cell r="P32">
            <v>298674000</v>
          </cell>
          <cell r="Q32">
            <v>831259000</v>
          </cell>
          <cell r="R32">
            <v>3105451742.2357302</v>
          </cell>
        </row>
        <row r="33">
          <cell r="D33" t="str">
            <v>041</v>
          </cell>
          <cell r="E33" t="str">
            <v>041 TIENDA KOAJ CARRERA 62 N</v>
          </cell>
          <cell r="F33">
            <v>953331436.92106605</v>
          </cell>
          <cell r="G33">
            <v>746504000</v>
          </cell>
          <cell r="H33">
            <v>908210000</v>
          </cell>
          <cell r="I33">
            <v>850173000</v>
          </cell>
          <cell r="J33">
            <v>986866000</v>
          </cell>
          <cell r="K33">
            <v>1375742000</v>
          </cell>
          <cell r="L33">
            <v>1634516000</v>
          </cell>
          <cell r="M33">
            <v>1096045000</v>
          </cell>
          <cell r="N33">
            <v>1230721000</v>
          </cell>
          <cell r="O33">
            <v>1167663000</v>
          </cell>
          <cell r="P33">
            <v>1679457000</v>
          </cell>
          <cell r="Q33">
            <v>4674208000</v>
          </cell>
          <cell r="R33">
            <v>17462105731.547783</v>
          </cell>
        </row>
        <row r="34">
          <cell r="D34" t="str">
            <v>037</v>
          </cell>
          <cell r="E34" t="str">
            <v>037 T.KOAJ CALLE 18 MONTEVIDEO</v>
          </cell>
          <cell r="F34">
            <v>271353349.06155324</v>
          </cell>
          <cell r="G34">
            <v>143795000</v>
          </cell>
          <cell r="H34">
            <v>174944000</v>
          </cell>
          <cell r="I34">
            <v>163765000</v>
          </cell>
          <cell r="J34">
            <v>190095000</v>
          </cell>
          <cell r="K34">
            <v>265002000</v>
          </cell>
          <cell r="L34">
            <v>314849000</v>
          </cell>
          <cell r="M34">
            <v>211126000</v>
          </cell>
          <cell r="N34">
            <v>237068000</v>
          </cell>
          <cell r="O34">
            <v>224921000</v>
          </cell>
          <cell r="P34">
            <v>323506000</v>
          </cell>
          <cell r="Q34">
            <v>900369000</v>
          </cell>
          <cell r="R34">
            <v>3363638484.8821464</v>
          </cell>
        </row>
        <row r="35">
          <cell r="D35" t="str">
            <v>191</v>
          </cell>
          <cell r="E35" t="str">
            <v>191 TIENDA KOAJ PLAZA CENTRAL</v>
          </cell>
          <cell r="F35">
            <v>520920721.26928538</v>
          </cell>
          <cell r="G35">
            <v>358718000</v>
          </cell>
          <cell r="H35">
            <v>436423000</v>
          </cell>
          <cell r="I35">
            <v>408535000</v>
          </cell>
          <cell r="J35">
            <v>474220000</v>
          </cell>
          <cell r="K35">
            <v>661088000</v>
          </cell>
          <cell r="L35">
            <v>785436000</v>
          </cell>
          <cell r="M35">
            <v>526684000</v>
          </cell>
          <cell r="N35">
            <v>591400000</v>
          </cell>
          <cell r="O35">
            <v>561099000</v>
          </cell>
          <cell r="P35">
            <v>807032000</v>
          </cell>
          <cell r="Q35">
            <v>2246104000</v>
          </cell>
          <cell r="R35">
            <v>8391091165.8787794</v>
          </cell>
        </row>
        <row r="36">
          <cell r="D36" t="str">
            <v>119</v>
          </cell>
          <cell r="E36" t="str">
            <v>119 TIENDA KOAJ SAN MARTIN P1</v>
          </cell>
          <cell r="F36">
            <v>268642437.47329462</v>
          </cell>
          <cell r="G36">
            <v>124715000</v>
          </cell>
          <cell r="H36">
            <v>151731000</v>
          </cell>
          <cell r="I36">
            <v>142035000</v>
          </cell>
          <cell r="J36">
            <v>164872000</v>
          </cell>
          <cell r="K36">
            <v>229839000</v>
          </cell>
          <cell r="L36">
            <v>273072000</v>
          </cell>
          <cell r="M36">
            <v>183112000</v>
          </cell>
          <cell r="N36">
            <v>205611000</v>
          </cell>
          <cell r="O36">
            <v>195077000</v>
          </cell>
          <cell r="P36">
            <v>280580000</v>
          </cell>
          <cell r="Q36">
            <v>780900000</v>
          </cell>
          <cell r="R36">
            <v>2917319903.4838524</v>
          </cell>
        </row>
        <row r="37">
          <cell r="D37" t="str">
            <v>104</v>
          </cell>
          <cell r="E37" t="str">
            <v>104 T.KOAJ CALLE 18 CENTRO</v>
          </cell>
          <cell r="F37">
            <v>329126145.12910241</v>
          </cell>
          <cell r="G37">
            <v>146874000</v>
          </cell>
          <cell r="H37">
            <v>178690000</v>
          </cell>
          <cell r="I37">
            <v>167271000</v>
          </cell>
          <cell r="J37">
            <v>194166000</v>
          </cell>
          <cell r="K37">
            <v>270677000</v>
          </cell>
          <cell r="L37">
            <v>321591000</v>
          </cell>
          <cell r="M37">
            <v>215647000</v>
          </cell>
          <cell r="N37">
            <v>242144000</v>
          </cell>
          <cell r="O37">
            <v>229738000</v>
          </cell>
          <cell r="P37">
            <v>330433000</v>
          </cell>
          <cell r="Q37">
            <v>919650000</v>
          </cell>
          <cell r="R37">
            <v>3435666443.9545736</v>
          </cell>
        </row>
        <row r="38">
          <cell r="D38" t="str">
            <v>060</v>
          </cell>
          <cell r="E38" t="str">
            <v>060 TIENDA KOAJ CHAPINERO</v>
          </cell>
          <cell r="F38">
            <v>425449613.26865423</v>
          </cell>
          <cell r="G38">
            <v>245761000</v>
          </cell>
          <cell r="H38">
            <v>298997000</v>
          </cell>
          <cell r="I38">
            <v>279891000</v>
          </cell>
          <cell r="J38">
            <v>324892000</v>
          </cell>
          <cell r="K38">
            <v>452917000</v>
          </cell>
          <cell r="L38">
            <v>538109000</v>
          </cell>
          <cell r="M38">
            <v>360836000</v>
          </cell>
          <cell r="N38">
            <v>405173000</v>
          </cell>
          <cell r="O38">
            <v>384414000</v>
          </cell>
          <cell r="P38">
            <v>552905000</v>
          </cell>
          <cell r="Q38">
            <v>1538825000</v>
          </cell>
          <cell r="R38">
            <v>5748808495.2887468</v>
          </cell>
        </row>
        <row r="39">
          <cell r="D39" t="str">
            <v>083</v>
          </cell>
          <cell r="E39" t="str">
            <v>083 TIENDA KOAJ CENTRO BOGOTA</v>
          </cell>
          <cell r="F39">
            <v>559201463.17243576</v>
          </cell>
          <cell r="G39">
            <v>306426000</v>
          </cell>
          <cell r="H39">
            <v>372803000</v>
          </cell>
          <cell r="I39">
            <v>348980000</v>
          </cell>
          <cell r="J39">
            <v>405090000</v>
          </cell>
          <cell r="K39">
            <v>564716000</v>
          </cell>
          <cell r="L39">
            <v>670938000</v>
          </cell>
          <cell r="M39">
            <v>449906000</v>
          </cell>
          <cell r="N39">
            <v>505188000</v>
          </cell>
          <cell r="O39">
            <v>479304000</v>
          </cell>
          <cell r="P39">
            <v>689386000</v>
          </cell>
          <cell r="Q39">
            <v>1918675000</v>
          </cell>
          <cell r="R39">
            <v>7167866267.9810228</v>
          </cell>
        </row>
        <row r="40">
          <cell r="D40" t="str">
            <v>054</v>
          </cell>
          <cell r="E40" t="str">
            <v>054 TIENDA KOAJ CALIMA</v>
          </cell>
          <cell r="F40">
            <v>566277697.06127334</v>
          </cell>
          <cell r="G40">
            <v>336651000</v>
          </cell>
          <cell r="H40">
            <v>409575000</v>
          </cell>
          <cell r="I40">
            <v>383402000</v>
          </cell>
          <cell r="J40">
            <v>445047000</v>
          </cell>
          <cell r="K40">
            <v>620418000</v>
          </cell>
          <cell r="L40">
            <v>737117000</v>
          </cell>
          <cell r="M40">
            <v>494283000</v>
          </cell>
          <cell r="N40">
            <v>555018000</v>
          </cell>
          <cell r="O40">
            <v>526581000</v>
          </cell>
          <cell r="P40">
            <v>757385000</v>
          </cell>
          <cell r="Q40">
            <v>2107927000</v>
          </cell>
          <cell r="R40">
            <v>7874882152.8502331</v>
          </cell>
        </row>
        <row r="41">
          <cell r="D41" t="str">
            <v>105</v>
          </cell>
          <cell r="E41" t="str">
            <v>105 TIENDA KOAJ SALITRE 2</v>
          </cell>
          <cell r="F41">
            <v>135812607.10684741</v>
          </cell>
          <cell r="G41">
            <v>68102000</v>
          </cell>
          <cell r="H41">
            <v>82854000</v>
          </cell>
          <cell r="I41">
            <v>77559000</v>
          </cell>
          <cell r="J41">
            <v>90030000</v>
          </cell>
          <cell r="K41">
            <v>125506000</v>
          </cell>
          <cell r="L41">
            <v>149113000</v>
          </cell>
          <cell r="M41">
            <v>99990000</v>
          </cell>
          <cell r="N41">
            <v>112276000</v>
          </cell>
          <cell r="O41">
            <v>106523000</v>
          </cell>
          <cell r="P41">
            <v>153213000</v>
          </cell>
          <cell r="Q41">
            <v>426418000</v>
          </cell>
          <cell r="R41">
            <v>1593031480.3433547</v>
          </cell>
        </row>
        <row r="42">
          <cell r="D42" t="str">
            <v>093</v>
          </cell>
          <cell r="E42" t="str">
            <v>093 TIENDA KOAJ SALITRE N</v>
          </cell>
          <cell r="F42">
            <v>450768869.60867101</v>
          </cell>
          <cell r="G42">
            <v>242904000</v>
          </cell>
          <cell r="H42">
            <v>295521000</v>
          </cell>
          <cell r="I42">
            <v>276637000</v>
          </cell>
          <cell r="J42">
            <v>321115000</v>
          </cell>
          <cell r="K42">
            <v>447651000</v>
          </cell>
          <cell r="L42">
            <v>531853000</v>
          </cell>
          <cell r="M42">
            <v>356641000</v>
          </cell>
          <cell r="N42">
            <v>400463000</v>
          </cell>
          <cell r="O42">
            <v>379944000</v>
          </cell>
          <cell r="P42">
            <v>546476000</v>
          </cell>
          <cell r="Q42">
            <v>1520935000</v>
          </cell>
          <cell r="R42">
            <v>5681971751.7659311</v>
          </cell>
        </row>
        <row r="43">
          <cell r="D43" t="str">
            <v>167</v>
          </cell>
          <cell r="E43" t="str">
            <v>167 TIENDA KOAJ GRAN ESTACION</v>
          </cell>
          <cell r="F43">
            <v>670472677.22155035</v>
          </cell>
          <cell r="G43">
            <v>450747000</v>
          </cell>
          <cell r="H43">
            <v>548387000</v>
          </cell>
          <cell r="I43">
            <v>513344000</v>
          </cell>
          <cell r="J43">
            <v>595881000</v>
          </cell>
          <cell r="K43">
            <v>830689000</v>
          </cell>
          <cell r="L43">
            <v>986939000</v>
          </cell>
          <cell r="M43">
            <v>661805000</v>
          </cell>
          <cell r="N43">
            <v>743123000</v>
          </cell>
          <cell r="O43">
            <v>705048000</v>
          </cell>
          <cell r="P43">
            <v>1014075000</v>
          </cell>
          <cell r="Q43">
            <v>2822340000</v>
          </cell>
          <cell r="R43">
            <v>10543817294.884705</v>
          </cell>
        </row>
        <row r="44">
          <cell r="D44" t="str">
            <v>193</v>
          </cell>
          <cell r="E44" t="str">
            <v>193 TIENDA KOAJ LA FELICIDAD</v>
          </cell>
          <cell r="F44">
            <v>652591496.64546359</v>
          </cell>
          <cell r="G44">
            <v>416971000</v>
          </cell>
          <cell r="H44">
            <v>507295000</v>
          </cell>
          <cell r="I44">
            <v>474878000</v>
          </cell>
          <cell r="J44">
            <v>551230000</v>
          </cell>
          <cell r="K44">
            <v>768443000</v>
          </cell>
          <cell r="L44">
            <v>912985000</v>
          </cell>
          <cell r="M44">
            <v>612214000</v>
          </cell>
          <cell r="N44">
            <v>687439000</v>
          </cell>
          <cell r="O44">
            <v>652217000</v>
          </cell>
          <cell r="P44">
            <v>938088000</v>
          </cell>
          <cell r="Q44">
            <v>2610853000</v>
          </cell>
          <cell r="R44">
            <v>9753737199.4590912</v>
          </cell>
        </row>
        <row r="45">
          <cell r="D45" t="str">
            <v>170</v>
          </cell>
          <cell r="E45" t="str">
            <v>170 TIENDA KOAJ UNIC.OCCIDENTE</v>
          </cell>
          <cell r="F45">
            <v>373156689.8763001</v>
          </cell>
          <cell r="G45">
            <v>217002000</v>
          </cell>
          <cell r="H45">
            <v>264008000</v>
          </cell>
          <cell r="I45">
            <v>247138000</v>
          </cell>
          <cell r="J45">
            <v>286873000</v>
          </cell>
          <cell r="K45">
            <v>399916000</v>
          </cell>
          <cell r="L45">
            <v>475139000</v>
          </cell>
          <cell r="M45">
            <v>318610000</v>
          </cell>
          <cell r="N45">
            <v>357759000</v>
          </cell>
          <cell r="O45">
            <v>339429000</v>
          </cell>
          <cell r="P45">
            <v>488203000</v>
          </cell>
          <cell r="Q45">
            <v>1358750000</v>
          </cell>
          <cell r="R45">
            <v>5076075880.1918678</v>
          </cell>
        </row>
        <row r="46">
          <cell r="D46" t="str">
            <v>134</v>
          </cell>
          <cell r="E46" t="str">
            <v>134 TIENDA KOAJ PORTAL 80</v>
          </cell>
          <cell r="F46">
            <v>648325825.98428154</v>
          </cell>
          <cell r="G46">
            <v>419023000</v>
          </cell>
          <cell r="H46">
            <v>509791000</v>
          </cell>
          <cell r="I46">
            <v>477214000</v>
          </cell>
          <cell r="J46">
            <v>553942000</v>
          </cell>
          <cell r="K46">
            <v>772224000</v>
          </cell>
          <cell r="L46">
            <v>917477000</v>
          </cell>
          <cell r="M46">
            <v>615226000</v>
          </cell>
          <cell r="N46">
            <v>690821000</v>
          </cell>
          <cell r="O46">
            <v>655426000</v>
          </cell>
          <cell r="P46">
            <v>942703000</v>
          </cell>
          <cell r="Q46">
            <v>2623700000</v>
          </cell>
          <cell r="R46">
            <v>9801728505.9721928</v>
          </cell>
        </row>
        <row r="47">
          <cell r="D47" t="str">
            <v>157</v>
          </cell>
          <cell r="E47" t="str">
            <v>157 TIENDA KOAJ TITAN</v>
          </cell>
          <cell r="F47">
            <v>958615876.28404546</v>
          </cell>
          <cell r="G47">
            <v>608282000</v>
          </cell>
          <cell r="H47">
            <v>740047000</v>
          </cell>
          <cell r="I47">
            <v>692756000</v>
          </cell>
          <cell r="J47">
            <v>804140000</v>
          </cell>
          <cell r="K47">
            <v>1121013000</v>
          </cell>
          <cell r="L47">
            <v>1331872000</v>
          </cell>
          <cell r="M47">
            <v>893104000</v>
          </cell>
          <cell r="N47">
            <v>1002843000</v>
          </cell>
          <cell r="O47">
            <v>951461000</v>
          </cell>
          <cell r="P47">
            <v>1368492000</v>
          </cell>
          <cell r="Q47">
            <v>3808741000</v>
          </cell>
          <cell r="R47">
            <v>14228856807.397394</v>
          </cell>
        </row>
        <row r="48">
          <cell r="D48" t="str">
            <v>187</v>
          </cell>
          <cell r="E48" t="str">
            <v>187 TIENDA KOAJ LAS FERIAS</v>
          </cell>
          <cell r="F48">
            <v>324899174.13370562</v>
          </cell>
          <cell r="G48">
            <v>247769000</v>
          </cell>
          <cell r="H48">
            <v>301440000</v>
          </cell>
          <cell r="I48">
            <v>282177000</v>
          </cell>
          <cell r="J48">
            <v>327546000</v>
          </cell>
          <cell r="K48">
            <v>456616000</v>
          </cell>
          <cell r="L48">
            <v>542505000</v>
          </cell>
          <cell r="M48">
            <v>363783000</v>
          </cell>
          <cell r="N48">
            <v>408483000</v>
          </cell>
          <cell r="O48">
            <v>387554000</v>
          </cell>
          <cell r="P48">
            <v>557421000</v>
          </cell>
          <cell r="Q48">
            <v>1551395000</v>
          </cell>
          <cell r="R48">
            <v>5795766802.0653305</v>
          </cell>
        </row>
        <row r="49">
          <cell r="D49" t="str">
            <v>031</v>
          </cell>
          <cell r="E49" t="str">
            <v>031TIENDA KOAJ CAFAM FLORESTA</v>
          </cell>
          <cell r="F49">
            <v>293792382.77550083</v>
          </cell>
          <cell r="G49">
            <v>164129000</v>
          </cell>
          <cell r="H49">
            <v>199682000</v>
          </cell>
          <cell r="I49">
            <v>186922000</v>
          </cell>
          <cell r="J49">
            <v>216976000</v>
          </cell>
          <cell r="K49">
            <v>302476000</v>
          </cell>
          <cell r="L49">
            <v>359371000</v>
          </cell>
          <cell r="M49">
            <v>240981000</v>
          </cell>
          <cell r="N49">
            <v>270591000</v>
          </cell>
          <cell r="O49">
            <v>256727000</v>
          </cell>
          <cell r="P49">
            <v>369252000</v>
          </cell>
          <cell r="Q49">
            <v>1027689000</v>
          </cell>
          <cell r="R49">
            <v>3839282367.6358929</v>
          </cell>
        </row>
        <row r="50">
          <cell r="D50" t="str">
            <v>195</v>
          </cell>
          <cell r="E50" t="str">
            <v>195 TIENDA KOAJ METROPOLIS</v>
          </cell>
          <cell r="F50">
            <v>279542198.3417176</v>
          </cell>
          <cell r="G50">
            <v>157777000</v>
          </cell>
          <cell r="H50">
            <v>191954000</v>
          </cell>
          <cell r="I50">
            <v>179688000</v>
          </cell>
          <cell r="J50">
            <v>208579000</v>
          </cell>
          <cell r="K50">
            <v>290769000</v>
          </cell>
          <cell r="L50">
            <v>345462000</v>
          </cell>
          <cell r="M50">
            <v>231654000</v>
          </cell>
          <cell r="N50">
            <v>260118000</v>
          </cell>
          <cell r="O50">
            <v>246791000</v>
          </cell>
          <cell r="P50">
            <v>354961000</v>
          </cell>
          <cell r="Q50">
            <v>987914000</v>
          </cell>
          <cell r="R50">
            <v>3690692598.1971288</v>
          </cell>
        </row>
        <row r="51">
          <cell r="D51" t="str">
            <v>112</v>
          </cell>
          <cell r="E51" t="str">
            <v>112 TIENDA KOAJ SAUCES</v>
          </cell>
          <cell r="F51">
            <v>466648309.97201437</v>
          </cell>
          <cell r="G51">
            <v>268551000</v>
          </cell>
          <cell r="H51">
            <v>326724000</v>
          </cell>
          <cell r="I51">
            <v>305846000</v>
          </cell>
          <cell r="J51">
            <v>355021000</v>
          </cell>
          <cell r="K51">
            <v>494917000</v>
          </cell>
          <cell r="L51">
            <v>588010000</v>
          </cell>
          <cell r="M51">
            <v>394297000</v>
          </cell>
          <cell r="N51">
            <v>442747000</v>
          </cell>
          <cell r="O51">
            <v>420062000</v>
          </cell>
          <cell r="P51">
            <v>604177000</v>
          </cell>
          <cell r="Q51">
            <v>1681526000</v>
          </cell>
          <cell r="R51">
            <v>6281916434.7317638</v>
          </cell>
        </row>
        <row r="52">
          <cell r="D52" t="str">
            <v>056</v>
          </cell>
          <cell r="E52" t="str">
            <v>056 TIENDA KOAJ DIVER PLAZA</v>
          </cell>
          <cell r="F52">
            <v>354184178.72506857</v>
          </cell>
          <cell r="G52">
            <v>260968000</v>
          </cell>
          <cell r="H52">
            <v>317499000</v>
          </cell>
          <cell r="I52">
            <v>297210000</v>
          </cell>
          <cell r="J52">
            <v>344996000</v>
          </cell>
          <cell r="K52">
            <v>480942000</v>
          </cell>
          <cell r="L52">
            <v>571406000</v>
          </cell>
          <cell r="M52">
            <v>383164000</v>
          </cell>
          <cell r="N52">
            <v>430245000</v>
          </cell>
          <cell r="O52">
            <v>408201000</v>
          </cell>
          <cell r="P52">
            <v>587117000</v>
          </cell>
          <cell r="Q52">
            <v>1634045000</v>
          </cell>
          <cell r="R52">
            <v>6104533735.4391098</v>
          </cell>
        </row>
        <row r="53">
          <cell r="D53" t="str">
            <v>176</v>
          </cell>
          <cell r="E53" t="str">
            <v>176 TIENDA KOAJ BULEVAR</v>
          </cell>
          <cell r="F53">
            <v>246090207.2369251</v>
          </cell>
          <cell r="G53">
            <v>153913000</v>
          </cell>
          <cell r="H53">
            <v>187253000</v>
          </cell>
          <cell r="I53">
            <v>175287000</v>
          </cell>
          <cell r="J53">
            <v>203470000</v>
          </cell>
          <cell r="K53">
            <v>283648000</v>
          </cell>
          <cell r="L53">
            <v>337001000</v>
          </cell>
          <cell r="M53">
            <v>225980000</v>
          </cell>
          <cell r="N53">
            <v>253748000</v>
          </cell>
          <cell r="O53">
            <v>240746000</v>
          </cell>
          <cell r="P53">
            <v>346267000</v>
          </cell>
          <cell r="Q53">
            <v>963719000</v>
          </cell>
          <cell r="R53">
            <v>3600301915.2976499</v>
          </cell>
        </row>
        <row r="54">
          <cell r="D54" t="str">
            <v>092</v>
          </cell>
          <cell r="E54" t="str">
            <v>092 TIENDA KOAJ COLINA</v>
          </cell>
          <cell r="F54">
            <v>293947181.43864191</v>
          </cell>
          <cell r="G54">
            <v>177165000</v>
          </cell>
          <cell r="H54">
            <v>215542000</v>
          </cell>
          <cell r="I54">
            <v>201769000</v>
          </cell>
          <cell r="J54">
            <v>234210000</v>
          </cell>
          <cell r="K54">
            <v>326500000</v>
          </cell>
          <cell r="L54">
            <v>387914000</v>
          </cell>
          <cell r="M54">
            <v>260121000</v>
          </cell>
          <cell r="N54">
            <v>292083000</v>
          </cell>
          <cell r="O54">
            <v>277118000</v>
          </cell>
          <cell r="P54">
            <v>398580000</v>
          </cell>
          <cell r="Q54">
            <v>1109314000</v>
          </cell>
          <cell r="R54">
            <v>4144221255.2334962</v>
          </cell>
        </row>
        <row r="55">
          <cell r="D55" t="str">
            <v>197</v>
          </cell>
          <cell r="E55" t="str">
            <v>197 TIENDA KOAJ GAITANA</v>
          </cell>
          <cell r="F55">
            <v>229905039.51387805</v>
          </cell>
          <cell r="G55">
            <v>153375000</v>
          </cell>
          <cell r="H55">
            <v>186599000</v>
          </cell>
          <cell r="I55">
            <v>174674000</v>
          </cell>
          <cell r="J55">
            <v>202759000</v>
          </cell>
          <cell r="K55">
            <v>282657000</v>
          </cell>
          <cell r="L55">
            <v>335824000</v>
          </cell>
          <cell r="M55">
            <v>225191000</v>
          </cell>
          <cell r="N55">
            <v>252861000</v>
          </cell>
          <cell r="O55">
            <v>239905000</v>
          </cell>
          <cell r="P55">
            <v>345057000</v>
          </cell>
          <cell r="Q55">
            <v>960352000</v>
          </cell>
          <cell r="R55">
            <v>3587722904.993135</v>
          </cell>
        </row>
        <row r="56">
          <cell r="D56" t="str">
            <v>036</v>
          </cell>
          <cell r="E56" t="str">
            <v>036 TIENDA KOAJ UNICENTRO</v>
          </cell>
          <cell r="F56">
            <v>419538239.31995332</v>
          </cell>
          <cell r="G56">
            <v>273115000</v>
          </cell>
          <cell r="H56">
            <v>332277000</v>
          </cell>
          <cell r="I56">
            <v>311044000</v>
          </cell>
          <cell r="J56">
            <v>361054000</v>
          </cell>
          <cell r="K56">
            <v>503328000</v>
          </cell>
          <cell r="L56">
            <v>598003000</v>
          </cell>
          <cell r="M56">
            <v>400998000</v>
          </cell>
          <cell r="N56">
            <v>450271000</v>
          </cell>
          <cell r="O56">
            <v>427200000</v>
          </cell>
          <cell r="P56">
            <v>614445000</v>
          </cell>
          <cell r="Q56">
            <v>1710102000</v>
          </cell>
          <cell r="R56">
            <v>6388672011.7587738</v>
          </cell>
        </row>
        <row r="57">
          <cell r="D57" t="str">
            <v>012</v>
          </cell>
          <cell r="E57" t="str">
            <v>012 TIENDA KOAJ SUBA IMPERIAL</v>
          </cell>
          <cell r="F57">
            <v>743092600.06762064</v>
          </cell>
          <cell r="G57">
            <v>572271000</v>
          </cell>
          <cell r="H57">
            <v>696235000</v>
          </cell>
          <cell r="I57">
            <v>651744000</v>
          </cell>
          <cell r="J57">
            <v>756534000</v>
          </cell>
          <cell r="K57">
            <v>1054647000</v>
          </cell>
          <cell r="L57">
            <v>1253023000</v>
          </cell>
          <cell r="M57">
            <v>840230000</v>
          </cell>
          <cell r="N57">
            <v>943473000</v>
          </cell>
          <cell r="O57">
            <v>895133000</v>
          </cell>
          <cell r="P57">
            <v>1287475000</v>
          </cell>
          <cell r="Q57">
            <v>3583257000</v>
          </cell>
          <cell r="R57">
            <v>13386483395.529593</v>
          </cell>
        </row>
        <row r="58">
          <cell r="D58" t="str">
            <v>530</v>
          </cell>
          <cell r="E58" t="str">
            <v>530 TIENDA KOAJ SUBA RINCON</v>
          </cell>
          <cell r="F58">
            <v>220040494.70521122</v>
          </cell>
          <cell r="G58">
            <v>149315000</v>
          </cell>
          <cell r="H58">
            <v>181660000</v>
          </cell>
          <cell r="I58">
            <v>170051000</v>
          </cell>
          <cell r="J58">
            <v>197392000</v>
          </cell>
          <cell r="K58">
            <v>275175000</v>
          </cell>
          <cell r="L58">
            <v>326935000</v>
          </cell>
          <cell r="M58">
            <v>219230000</v>
          </cell>
          <cell r="N58">
            <v>246168000</v>
          </cell>
          <cell r="O58">
            <v>233555000</v>
          </cell>
          <cell r="P58">
            <v>335924000</v>
          </cell>
          <cell r="Q58">
            <v>934932000</v>
          </cell>
          <cell r="R58">
            <v>3492759999.9999995</v>
          </cell>
        </row>
        <row r="59">
          <cell r="D59" t="str">
            <v>138</v>
          </cell>
          <cell r="E59" t="str">
            <v>138 TIENDA KOAJ PALATINO</v>
          </cell>
          <cell r="F59">
            <v>233953024.55501792</v>
          </cell>
          <cell r="G59">
            <v>135298000</v>
          </cell>
          <cell r="H59">
            <v>164606000</v>
          </cell>
          <cell r="I59">
            <v>154087000</v>
          </cell>
          <cell r="J59">
            <v>178862000</v>
          </cell>
          <cell r="K59">
            <v>249342000</v>
          </cell>
          <cell r="L59">
            <v>296243000</v>
          </cell>
          <cell r="M59">
            <v>198649000</v>
          </cell>
          <cell r="N59">
            <v>223058000</v>
          </cell>
          <cell r="O59">
            <v>211629000</v>
          </cell>
          <cell r="P59">
            <v>304388000</v>
          </cell>
          <cell r="Q59">
            <v>847162000</v>
          </cell>
          <cell r="R59">
            <v>3164864723.3415279</v>
          </cell>
        </row>
        <row r="60">
          <cell r="D60" t="str">
            <v>087</v>
          </cell>
          <cell r="E60" t="str">
            <v>087 TIENDA KOAJ SANTAFE 2</v>
          </cell>
          <cell r="F60">
            <v>242449536.17817527</v>
          </cell>
          <cell r="G60">
            <v>165441000</v>
          </cell>
          <cell r="H60">
            <v>201279000</v>
          </cell>
          <cell r="I60">
            <v>188416000</v>
          </cell>
          <cell r="J60">
            <v>218711000</v>
          </cell>
          <cell r="K60">
            <v>304894000</v>
          </cell>
          <cell r="L60">
            <v>362243000</v>
          </cell>
          <cell r="M60">
            <v>242907000</v>
          </cell>
          <cell r="N60">
            <v>272754000</v>
          </cell>
          <cell r="O60">
            <v>258779000</v>
          </cell>
          <cell r="P60">
            <v>372203000</v>
          </cell>
          <cell r="Q60">
            <v>1035904000</v>
          </cell>
          <cell r="R60">
            <v>3869973714.780725</v>
          </cell>
        </row>
        <row r="61">
          <cell r="D61" t="str">
            <v>089</v>
          </cell>
          <cell r="E61" t="str">
            <v>089 TIENDA KOAJ FONTANAR CHIA</v>
          </cell>
          <cell r="F61">
            <v>307127320.11346233</v>
          </cell>
          <cell r="G61">
            <v>204311000</v>
          </cell>
          <cell r="H61">
            <v>248569000</v>
          </cell>
          <cell r="I61">
            <v>232685000</v>
          </cell>
          <cell r="J61">
            <v>270097000</v>
          </cell>
          <cell r="K61">
            <v>376529000</v>
          </cell>
          <cell r="L61">
            <v>447353000</v>
          </cell>
          <cell r="M61">
            <v>299978000</v>
          </cell>
          <cell r="N61">
            <v>336837000</v>
          </cell>
          <cell r="O61">
            <v>319579000</v>
          </cell>
          <cell r="P61">
            <v>459653000</v>
          </cell>
          <cell r="Q61">
            <v>1279290000</v>
          </cell>
          <cell r="R61">
            <v>4779224378.4776611</v>
          </cell>
        </row>
        <row r="62">
          <cell r="D62" t="str">
            <v>076</v>
          </cell>
          <cell r="E62" t="str">
            <v>076 TIENDA KOAJ SANTAFE 1</v>
          </cell>
          <cell r="F62">
            <v>660033442.37597215</v>
          </cell>
          <cell r="G62">
            <v>411395000</v>
          </cell>
          <cell r="H62">
            <v>500510000</v>
          </cell>
          <cell r="I62">
            <v>468527000</v>
          </cell>
          <cell r="J62">
            <v>543858000</v>
          </cell>
          <cell r="K62">
            <v>758166000</v>
          </cell>
          <cell r="L62">
            <v>900775000</v>
          </cell>
          <cell r="M62">
            <v>604026000</v>
          </cell>
          <cell r="N62">
            <v>678245000</v>
          </cell>
          <cell r="O62">
            <v>643494000</v>
          </cell>
          <cell r="P62">
            <v>925542000</v>
          </cell>
          <cell r="Q62">
            <v>2575937000</v>
          </cell>
          <cell r="R62">
            <v>9623293950.2626305</v>
          </cell>
        </row>
        <row r="63">
          <cell r="D63" t="str">
            <v>184</v>
          </cell>
          <cell r="E63" t="str">
            <v>184 TIENDA KOAJ TOBERIN</v>
          </cell>
          <cell r="F63">
            <v>854661801.54328191</v>
          </cell>
          <cell r="G63">
            <v>585849000</v>
          </cell>
          <cell r="H63">
            <v>712754000</v>
          </cell>
          <cell r="I63">
            <v>667208000</v>
          </cell>
          <cell r="J63">
            <v>774484000</v>
          </cell>
          <cell r="K63">
            <v>1079670000</v>
          </cell>
          <cell r="L63">
            <v>1282753000</v>
          </cell>
          <cell r="M63">
            <v>860166000</v>
          </cell>
          <cell r="N63">
            <v>965858000</v>
          </cell>
          <cell r="O63">
            <v>916371000</v>
          </cell>
          <cell r="P63">
            <v>1318023000</v>
          </cell>
          <cell r="Q63">
            <v>3668275000</v>
          </cell>
          <cell r="R63">
            <v>13704097867.687687</v>
          </cell>
        </row>
        <row r="64">
          <cell r="D64" t="str">
            <v>026</v>
          </cell>
          <cell r="E64" t="str">
            <v>026 TIENDA KOAJ SAN MARTIN P2</v>
          </cell>
          <cell r="F64">
            <v>187486335.8466371</v>
          </cell>
          <cell r="G64">
            <v>124098000</v>
          </cell>
          <cell r="H64">
            <v>150979000</v>
          </cell>
          <cell r="I64">
            <v>141331000</v>
          </cell>
          <cell r="J64">
            <v>164055000</v>
          </cell>
          <cell r="K64">
            <v>228701000</v>
          </cell>
          <cell r="L64">
            <v>271719000</v>
          </cell>
          <cell r="M64">
            <v>182205000</v>
          </cell>
          <cell r="N64">
            <v>204593000</v>
          </cell>
          <cell r="O64">
            <v>194110000</v>
          </cell>
          <cell r="P64">
            <v>279190000</v>
          </cell>
          <cell r="Q64">
            <v>777033000</v>
          </cell>
          <cell r="R64">
            <v>2902871990.9711552</v>
          </cell>
        </row>
        <row r="65">
          <cell r="D65" t="str">
            <v>098</v>
          </cell>
          <cell r="E65" t="str">
            <v>098 TIENDA KOAJ ALAMOS</v>
          </cell>
          <cell r="F65">
            <v>125723604.23662595</v>
          </cell>
          <cell r="G65">
            <v>136723000</v>
          </cell>
          <cell r="H65">
            <v>166340000</v>
          </cell>
          <cell r="I65">
            <v>155711000</v>
          </cell>
          <cell r="J65">
            <v>180746000</v>
          </cell>
          <cell r="K65">
            <v>251969000</v>
          </cell>
          <cell r="L65">
            <v>299364000</v>
          </cell>
          <cell r="M65">
            <v>200742000</v>
          </cell>
          <cell r="N65">
            <v>225409000</v>
          </cell>
          <cell r="O65">
            <v>213859000</v>
          </cell>
          <cell r="P65">
            <v>307595000</v>
          </cell>
          <cell r="Q65">
            <v>856089000</v>
          </cell>
          <cell r="R65">
            <v>3198212972.5537953</v>
          </cell>
        </row>
        <row r="66">
          <cell r="D66" t="str">
            <v>086</v>
          </cell>
          <cell r="E66" t="str">
            <v>086 TIENDA KOAJ KENNEDY 1</v>
          </cell>
          <cell r="F66">
            <v>167555040.47557536</v>
          </cell>
          <cell r="G66">
            <v>199100000</v>
          </cell>
          <cell r="H66">
            <v>242228000</v>
          </cell>
          <cell r="I66">
            <v>226749000</v>
          </cell>
          <cell r="J66">
            <v>263207000</v>
          </cell>
          <cell r="K66">
            <v>366924000</v>
          </cell>
          <cell r="L66">
            <v>435941000</v>
          </cell>
          <cell r="M66">
            <v>292326000</v>
          </cell>
          <cell r="N66">
            <v>328245000</v>
          </cell>
          <cell r="O66">
            <v>311427000</v>
          </cell>
          <cell r="P66">
            <v>447928000</v>
          </cell>
          <cell r="Q66">
            <v>1246658000</v>
          </cell>
          <cell r="R66">
            <v>4657316627.8291273</v>
          </cell>
        </row>
        <row r="67">
          <cell r="D67" t="str">
            <v>100</v>
          </cell>
          <cell r="E67" t="str">
            <v>100 TIENDA KOAJ CARRERA DECIMA</v>
          </cell>
          <cell r="F67">
            <v>212848161.81901768</v>
          </cell>
          <cell r="G67">
            <v>181499000</v>
          </cell>
          <cell r="H67">
            <v>220815000</v>
          </cell>
          <cell r="I67">
            <v>206704000</v>
          </cell>
          <cell r="J67">
            <v>239939000</v>
          </cell>
          <cell r="K67">
            <v>334487000</v>
          </cell>
          <cell r="L67">
            <v>397403000</v>
          </cell>
          <cell r="M67">
            <v>266484000</v>
          </cell>
          <cell r="N67">
            <v>299228000</v>
          </cell>
          <cell r="O67">
            <v>283897000</v>
          </cell>
          <cell r="P67">
            <v>408330000</v>
          </cell>
          <cell r="Q67">
            <v>1136451000</v>
          </cell>
          <cell r="R67">
            <v>4245600000</v>
          </cell>
        </row>
        <row r="68">
          <cell r="D68" t="str">
            <v>196</v>
          </cell>
          <cell r="E68" t="str">
            <v>196 TIENDA KOAJ LUCERO</v>
          </cell>
          <cell r="F68">
            <v>73552584.791495457</v>
          </cell>
          <cell r="G68">
            <v>98301000</v>
          </cell>
          <cell r="H68">
            <v>119595000</v>
          </cell>
          <cell r="I68">
            <v>111953000</v>
          </cell>
          <cell r="J68">
            <v>129953000</v>
          </cell>
          <cell r="K68">
            <v>181161000</v>
          </cell>
          <cell r="L68">
            <v>215237000</v>
          </cell>
          <cell r="M68">
            <v>144330000</v>
          </cell>
          <cell r="N68">
            <v>162064000</v>
          </cell>
          <cell r="O68">
            <v>153760000</v>
          </cell>
          <cell r="P68">
            <v>221155000</v>
          </cell>
          <cell r="Q68">
            <v>615510000</v>
          </cell>
          <cell r="R68">
            <v>2299447717.0513635</v>
          </cell>
        </row>
        <row r="69">
          <cell r="D69" t="str">
            <v>099</v>
          </cell>
          <cell r="E69" t="str">
            <v>099 TIENDA KOAJ SANTA LIBRADA</v>
          </cell>
          <cell r="F69">
            <v>146224752.18637589</v>
          </cell>
          <cell r="G69">
            <v>165098000</v>
          </cell>
          <cell r="H69">
            <v>200862000</v>
          </cell>
          <cell r="I69">
            <v>188026000</v>
          </cell>
          <cell r="J69">
            <v>218258000</v>
          </cell>
          <cell r="K69">
            <v>304262000</v>
          </cell>
          <cell r="L69">
            <v>361493000</v>
          </cell>
          <cell r="M69">
            <v>242404000</v>
          </cell>
          <cell r="N69">
            <v>272189000</v>
          </cell>
          <cell r="O69">
            <v>258243000</v>
          </cell>
          <cell r="P69">
            <v>371432000</v>
          </cell>
          <cell r="Q69">
            <v>1033758000</v>
          </cell>
          <cell r="R69">
            <v>3861956903.8926668</v>
          </cell>
        </row>
        <row r="70">
          <cell r="D70" t="str">
            <v>531</v>
          </cell>
          <cell r="E70" t="str">
            <v>531 TIENDA KOAJ TUNAL II</v>
          </cell>
        </row>
        <row r="71">
          <cell r="D71" t="str">
            <v>PY1</v>
          </cell>
          <cell r="E71" t="str">
            <v>PROYECTO 1 marzo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</row>
        <row r="72">
          <cell r="D72" t="str">
            <v>532</v>
          </cell>
          <cell r="E72" t="str">
            <v>TIENDA KOAJ PASEO DEL RIO abril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</row>
        <row r="73">
          <cell r="D73" t="str">
            <v>PY2</v>
          </cell>
          <cell r="E73" t="str">
            <v>PROYECTO 2 mayo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</row>
        <row r="74">
          <cell r="D74" t="str">
            <v>PY3</v>
          </cell>
          <cell r="E74" t="str">
            <v>PROYECTO 3 agosto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</row>
        <row r="75">
          <cell r="D75" t="str">
            <v>NTB</v>
          </cell>
          <cell r="E75" t="str">
            <v>TIENDA KOAJ NUESTRO BOGOTA octubre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</row>
        <row r="76">
          <cell r="D76" t="str">
            <v>109</v>
          </cell>
          <cell r="E76" t="str">
            <v>109 CARRERA 7</v>
          </cell>
          <cell r="F76">
            <v>133427449.99999619</v>
          </cell>
        </row>
        <row r="77">
          <cell r="D77" t="str">
            <v>Total</v>
          </cell>
          <cell r="F77">
            <v>25400000000</v>
          </cell>
          <cell r="G77">
            <v>17129747071.813999</v>
          </cell>
          <cell r="H77">
            <v>20770064534.71912</v>
          </cell>
          <cell r="I77">
            <v>19455056820</v>
          </cell>
          <cell r="J77">
            <v>22573997552</v>
          </cell>
          <cell r="K77">
            <v>31484646590.639999</v>
          </cell>
          <cell r="L77">
            <v>37413829060</v>
          </cell>
          <cell r="M77">
            <v>25071760876.400002</v>
          </cell>
          <cell r="N77">
            <v>28167114412</v>
          </cell>
          <cell r="O77">
            <v>26715324928</v>
          </cell>
          <cell r="P77">
            <v>38401022935.199997</v>
          </cell>
          <cell r="Q77">
            <v>106862622607.2</v>
          </cell>
          <cell r="R77">
            <v>399565386786.33722</v>
          </cell>
        </row>
      </sheetData>
      <sheetData sheetId="2">
        <row r="1">
          <cell r="A1" t="str">
            <v>C.O.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TA 2019"/>
      <sheetName val="GENERAL"/>
      <sheetName val="PPTO 2020"/>
      <sheetName val="PPTO 2020 L - P"/>
      <sheetName val="% Crec"/>
      <sheetName val="PPTO 2020 (ZONAS)"/>
    </sheetNames>
    <sheetDataSet>
      <sheetData sheetId="0">
        <row r="2">
          <cell r="B2" t="str">
            <v>C.O.</v>
          </cell>
          <cell r="C2" t="str">
            <v>Almacén</v>
          </cell>
          <cell r="D2" t="str">
            <v>01  Enero</v>
          </cell>
          <cell r="E2" t="str">
            <v>02  Febrero</v>
          </cell>
          <cell r="F2" t="str">
            <v>03  Marzo</v>
          </cell>
          <cell r="G2" t="str">
            <v>04  Abril</v>
          </cell>
          <cell r="H2" t="str">
            <v>05  Mayo</v>
          </cell>
          <cell r="I2" t="str">
            <v>06  Junio</v>
          </cell>
          <cell r="J2" t="str">
            <v>07  Julio</v>
          </cell>
          <cell r="K2" t="str">
            <v>08  Agosto</v>
          </cell>
          <cell r="L2" t="str">
            <v>09  Septiembre</v>
          </cell>
          <cell r="M2" t="str">
            <v>10  Octubre</v>
          </cell>
          <cell r="N2" t="str">
            <v>11  Noviembre</v>
          </cell>
          <cell r="O2" t="str">
            <v>12  Diciembre</v>
          </cell>
          <cell r="P2" t="str">
            <v>Total general</v>
          </cell>
        </row>
        <row r="3">
          <cell r="B3" t="str">
            <v>002</v>
          </cell>
          <cell r="C3" t="str">
            <v>002 TIENDA KOAJ PUNTO 2</v>
          </cell>
          <cell r="D3">
            <v>153359855.7791</v>
          </cell>
          <cell r="E3">
            <v>108891263.22389995</v>
          </cell>
          <cell r="F3">
            <v>110907057.98450001</v>
          </cell>
          <cell r="G3">
            <v>92234218</v>
          </cell>
          <cell r="H3">
            <v>90234030</v>
          </cell>
          <cell r="I3">
            <v>137122385</v>
          </cell>
          <cell r="J3">
            <v>226231515</v>
          </cell>
          <cell r="K3">
            <v>122973507.5</v>
          </cell>
          <cell r="L3">
            <v>115401690</v>
          </cell>
          <cell r="M3">
            <v>228343625</v>
          </cell>
          <cell r="N3">
            <v>265739025</v>
          </cell>
          <cell r="O3">
            <v>538080033</v>
          </cell>
          <cell r="P3">
            <v>2189518205.4875002</v>
          </cell>
        </row>
        <row r="4">
          <cell r="B4" t="str">
            <v>003</v>
          </cell>
          <cell r="C4" t="str">
            <v>003 TIENDA KOAJ PUNTO 4</v>
          </cell>
          <cell r="D4">
            <v>199392643.90734419</v>
          </cell>
          <cell r="E4">
            <v>116702942.09999995</v>
          </cell>
          <cell r="F4">
            <v>118800848.98911639</v>
          </cell>
          <cell r="G4">
            <v>106643300</v>
          </cell>
          <cell r="H4">
            <v>128600715</v>
          </cell>
          <cell r="I4">
            <v>168195870</v>
          </cell>
          <cell r="J4">
            <v>205565650</v>
          </cell>
          <cell r="K4">
            <v>127658550</v>
          </cell>
          <cell r="L4">
            <v>135949535</v>
          </cell>
          <cell r="M4">
            <v>144798105</v>
          </cell>
          <cell r="N4">
            <v>221344883</v>
          </cell>
          <cell r="O4">
            <v>687010436</v>
          </cell>
          <cell r="P4">
            <v>2360663478.9964604</v>
          </cell>
        </row>
        <row r="5">
          <cell r="B5" t="str">
            <v>009</v>
          </cell>
          <cell r="C5" t="str">
            <v>009 TIENDA KOAJ GALERIAS</v>
          </cell>
          <cell r="D5">
            <v>287020606.60519999</v>
          </cell>
          <cell r="E5">
            <v>192882860.42390013</v>
          </cell>
          <cell r="F5">
            <v>233213269.19999999</v>
          </cell>
          <cell r="G5">
            <v>215363375</v>
          </cell>
          <cell r="H5">
            <v>254475085</v>
          </cell>
          <cell r="I5">
            <v>337992240.00000006</v>
          </cell>
          <cell r="J5">
            <v>378649219.17909998</v>
          </cell>
          <cell r="K5">
            <v>253935490</v>
          </cell>
          <cell r="L5">
            <v>281014125</v>
          </cell>
          <cell r="M5">
            <v>268654945</v>
          </cell>
          <cell r="N5">
            <v>357673425</v>
          </cell>
          <cell r="O5">
            <v>918368085</v>
          </cell>
          <cell r="P5">
            <v>3979242725.4082003</v>
          </cell>
        </row>
        <row r="6">
          <cell r="B6" t="str">
            <v>012</v>
          </cell>
          <cell r="C6" t="str">
            <v>012 TIENDA KOAJ SUBA IMPERIAL</v>
          </cell>
          <cell r="D6">
            <v>667878630.89680004</v>
          </cell>
          <cell r="E6">
            <v>456517700.00755048</v>
          </cell>
          <cell r="F6">
            <v>620509600.90999961</v>
          </cell>
          <cell r="G6">
            <v>588666459.03299999</v>
          </cell>
          <cell r="H6">
            <v>625899145</v>
          </cell>
          <cell r="I6">
            <v>962796584</v>
          </cell>
          <cell r="J6">
            <v>1136612169</v>
          </cell>
          <cell r="K6">
            <v>736974065</v>
          </cell>
          <cell r="L6">
            <v>853842731</v>
          </cell>
          <cell r="M6">
            <v>763600690.00000024</v>
          </cell>
          <cell r="N6">
            <v>1060708741</v>
          </cell>
          <cell r="O6">
            <v>3012385881.1000004</v>
          </cell>
          <cell r="P6">
            <v>11486392396.94735</v>
          </cell>
        </row>
        <row r="7">
          <cell r="B7" t="str">
            <v>026</v>
          </cell>
          <cell r="C7" t="str">
            <v>026 TIENDA KOAJ SAN MARTIN P2</v>
          </cell>
          <cell r="D7">
            <v>168509158.90110001</v>
          </cell>
          <cell r="E7">
            <v>178254970</v>
          </cell>
          <cell r="F7">
            <v>181379980</v>
          </cell>
          <cell r="G7">
            <v>187764080</v>
          </cell>
          <cell r="H7">
            <v>257387145</v>
          </cell>
          <cell r="I7">
            <v>229842440</v>
          </cell>
          <cell r="J7">
            <v>180620670</v>
          </cell>
          <cell r="K7">
            <v>204045897.5</v>
          </cell>
          <cell r="L7">
            <v>231096700</v>
          </cell>
          <cell r="M7">
            <v>214941485</v>
          </cell>
          <cell r="N7">
            <v>245350175</v>
          </cell>
          <cell r="O7">
            <v>485447290</v>
          </cell>
          <cell r="P7">
            <v>2764639991.4011002</v>
          </cell>
        </row>
        <row r="8">
          <cell r="B8" t="str">
            <v>031</v>
          </cell>
          <cell r="C8" t="str">
            <v>031TIENDA KOAJ CAFAM FLORESTA</v>
          </cell>
          <cell r="D8">
            <v>264055469.55330002</v>
          </cell>
          <cell r="E8">
            <v>162820430.71610025</v>
          </cell>
          <cell r="F8">
            <v>195484148.29999995</v>
          </cell>
          <cell r="G8">
            <v>180718950</v>
          </cell>
          <cell r="H8">
            <v>200152475</v>
          </cell>
          <cell r="I8">
            <v>283350990</v>
          </cell>
          <cell r="J8">
            <v>399721044</v>
          </cell>
          <cell r="K8">
            <v>215256779.5</v>
          </cell>
          <cell r="L8">
            <v>230803705</v>
          </cell>
          <cell r="M8">
            <v>209388155</v>
          </cell>
          <cell r="N8">
            <v>263284434</v>
          </cell>
          <cell r="O8">
            <v>745027451.00000012</v>
          </cell>
          <cell r="P8">
            <v>3350064032.0694003</v>
          </cell>
        </row>
        <row r="9">
          <cell r="B9" t="str">
            <v>035</v>
          </cell>
          <cell r="C9" t="str">
            <v>035 REBAJONA</v>
          </cell>
          <cell r="D9">
            <v>55068485.791899994</v>
          </cell>
          <cell r="E9">
            <v>70639975</v>
          </cell>
          <cell r="F9">
            <v>86254860</v>
          </cell>
          <cell r="G9">
            <v>100834005</v>
          </cell>
          <cell r="H9">
            <v>154021225</v>
          </cell>
          <cell r="I9">
            <v>206984050</v>
          </cell>
          <cell r="J9">
            <v>91913745</v>
          </cell>
          <cell r="K9">
            <v>119889075</v>
          </cell>
          <cell r="L9">
            <v>113788295</v>
          </cell>
          <cell r="M9">
            <v>122043265</v>
          </cell>
          <cell r="N9">
            <v>231033257.5</v>
          </cell>
          <cell r="O9">
            <v>232734275</v>
          </cell>
          <cell r="P9">
            <v>1585204513.2918999</v>
          </cell>
        </row>
        <row r="10">
          <cell r="B10" t="str">
            <v>036</v>
          </cell>
          <cell r="C10" t="str">
            <v>036 TIENDA KOAJ UNICENTRO</v>
          </cell>
          <cell r="D10">
            <v>377073613.75120002</v>
          </cell>
          <cell r="E10">
            <v>262703907.5540438</v>
          </cell>
          <cell r="F10">
            <v>314619124.54550004</v>
          </cell>
          <cell r="G10">
            <v>317245515.30000001</v>
          </cell>
          <cell r="H10">
            <v>341896760</v>
          </cell>
          <cell r="I10">
            <v>455722303.99999994</v>
          </cell>
          <cell r="J10">
            <v>589732873</v>
          </cell>
          <cell r="K10">
            <v>386253920</v>
          </cell>
          <cell r="L10">
            <v>426000345</v>
          </cell>
          <cell r="M10">
            <v>374523240</v>
          </cell>
          <cell r="N10">
            <v>509454995</v>
          </cell>
          <cell r="O10">
            <v>1305661633</v>
          </cell>
          <cell r="P10">
            <v>5660888231.1507435</v>
          </cell>
        </row>
        <row r="11">
          <cell r="B11" t="str">
            <v>037</v>
          </cell>
          <cell r="C11" t="str">
            <v>037 T.KOAJ CALLE 18 MONTEVIDEO</v>
          </cell>
          <cell r="D11">
            <v>243887221.34631002</v>
          </cell>
          <cell r="E11">
            <v>143956684.47900003</v>
          </cell>
          <cell r="F11">
            <v>149378645</v>
          </cell>
          <cell r="G11">
            <v>122566822.65010449</v>
          </cell>
          <cell r="H11">
            <v>156487196.40592334</v>
          </cell>
          <cell r="I11">
            <v>226586818</v>
          </cell>
          <cell r="J11">
            <v>353755447.5</v>
          </cell>
          <cell r="K11">
            <v>196091931</v>
          </cell>
          <cell r="L11">
            <v>184008240</v>
          </cell>
          <cell r="M11">
            <v>201384215</v>
          </cell>
          <cell r="N11">
            <v>270758205</v>
          </cell>
          <cell r="O11">
            <v>955092683.84000027</v>
          </cell>
          <cell r="P11">
            <v>3203954110.2213383</v>
          </cell>
        </row>
        <row r="12">
          <cell r="B12" t="str">
            <v>041</v>
          </cell>
          <cell r="C12" t="str">
            <v>041 TIENDA KOAJ CARRERA 62 N</v>
          </cell>
          <cell r="D12">
            <v>856837898.67570019</v>
          </cell>
          <cell r="E12">
            <v>513395026.53930062</v>
          </cell>
          <cell r="F12">
            <v>633658044</v>
          </cell>
          <cell r="G12">
            <v>627031790.49271882</v>
          </cell>
          <cell r="H12">
            <v>733836355</v>
          </cell>
          <cell r="I12">
            <v>1095886520</v>
          </cell>
          <cell r="J12">
            <v>1177584752</v>
          </cell>
          <cell r="K12">
            <v>913059186</v>
          </cell>
          <cell r="L12">
            <v>1032241505.9999999</v>
          </cell>
          <cell r="M12">
            <v>971946299.99999988</v>
          </cell>
          <cell r="N12">
            <v>1677101268</v>
          </cell>
          <cell r="O12">
            <v>4437276243</v>
          </cell>
          <cell r="P12">
            <v>14669854889.70772</v>
          </cell>
        </row>
        <row r="13">
          <cell r="B13" t="str">
            <v>042</v>
          </cell>
          <cell r="C13" t="str">
            <v>042 TIENDA KOAJ CENTRO MAYOR</v>
          </cell>
          <cell r="D13">
            <v>912903888.41279972</v>
          </cell>
          <cell r="E13">
            <v>697469138.05950105</v>
          </cell>
          <cell r="F13">
            <v>958959411.46914983</v>
          </cell>
          <cell r="G13">
            <v>881908135</v>
          </cell>
          <cell r="H13">
            <v>998585665.00740004</v>
          </cell>
          <cell r="I13">
            <v>1462663677.6189001</v>
          </cell>
          <cell r="J13">
            <v>1553741440.6164002</v>
          </cell>
          <cell r="K13">
            <v>1000689596.5</v>
          </cell>
          <cell r="L13">
            <v>1218999545</v>
          </cell>
          <cell r="M13">
            <v>1072029806</v>
          </cell>
          <cell r="N13">
            <v>1701449490</v>
          </cell>
          <cell r="O13">
            <v>4301273187.0000019</v>
          </cell>
          <cell r="P13">
            <v>16760672980.684153</v>
          </cell>
        </row>
        <row r="14">
          <cell r="B14" t="str">
            <v>054</v>
          </cell>
          <cell r="C14" t="str">
            <v>054 TIENDA KOAJ CALIMA</v>
          </cell>
          <cell r="D14">
            <v>508960397.00210005</v>
          </cell>
          <cell r="E14">
            <v>333317382.17758149</v>
          </cell>
          <cell r="F14">
            <v>424565035.39289451</v>
          </cell>
          <cell r="G14">
            <v>376272487.30000001</v>
          </cell>
          <cell r="H14">
            <v>424701315</v>
          </cell>
          <cell r="I14">
            <v>560402549.29999995</v>
          </cell>
          <cell r="J14">
            <v>712983026.19000006</v>
          </cell>
          <cell r="K14">
            <v>446158050.00000006</v>
          </cell>
          <cell r="L14">
            <v>537849380</v>
          </cell>
          <cell r="M14">
            <v>476586170</v>
          </cell>
          <cell r="N14">
            <v>629937002</v>
          </cell>
          <cell r="O14">
            <v>1612454919</v>
          </cell>
          <cell r="P14">
            <v>7044187713.3625755</v>
          </cell>
        </row>
        <row r="15">
          <cell r="B15" t="str">
            <v>056</v>
          </cell>
          <cell r="C15" t="str">
            <v>056 TIENDA KOAJ DIVER PLAZA</v>
          </cell>
          <cell r="D15">
            <v>318334586.88669997</v>
          </cell>
          <cell r="E15">
            <v>213718947.65956748</v>
          </cell>
          <cell r="F15">
            <v>258496440.90170002</v>
          </cell>
          <cell r="G15">
            <v>252493265</v>
          </cell>
          <cell r="H15">
            <v>278218130</v>
          </cell>
          <cell r="I15">
            <v>434615639</v>
          </cell>
          <cell r="J15">
            <v>545448236</v>
          </cell>
          <cell r="K15">
            <v>314405471</v>
          </cell>
          <cell r="L15">
            <v>380151265</v>
          </cell>
          <cell r="M15">
            <v>345550175</v>
          </cell>
          <cell r="N15">
            <v>487664668.99999982</v>
          </cell>
          <cell r="O15">
            <v>1459352845.0000007</v>
          </cell>
          <cell r="P15">
            <v>5288449670.4479685</v>
          </cell>
        </row>
        <row r="16">
          <cell r="B16" t="str">
            <v>060</v>
          </cell>
          <cell r="C16" t="str">
            <v>060 TIENDA KOAJ CHAPINERO</v>
          </cell>
          <cell r="D16">
            <v>382386792.38349998</v>
          </cell>
          <cell r="E16">
            <v>272027224.24006075</v>
          </cell>
          <cell r="F16">
            <v>333027717.50400001</v>
          </cell>
          <cell r="G16">
            <v>306889920</v>
          </cell>
          <cell r="H16">
            <v>330435183.05500001</v>
          </cell>
          <cell r="I16">
            <v>429872415</v>
          </cell>
          <cell r="J16">
            <v>578583334.5</v>
          </cell>
          <cell r="K16">
            <v>362676234.75</v>
          </cell>
          <cell r="L16">
            <v>399826402.5</v>
          </cell>
          <cell r="M16">
            <v>357200705</v>
          </cell>
          <cell r="N16">
            <v>408652585.5</v>
          </cell>
          <cell r="O16">
            <v>1145412471</v>
          </cell>
          <cell r="P16">
            <v>5306990985.4325609</v>
          </cell>
        </row>
        <row r="17">
          <cell r="B17" t="str">
            <v>068</v>
          </cell>
          <cell r="C17" t="str">
            <v xml:space="preserve">068 TIENDA KOAJ HAYUELOS </v>
          </cell>
          <cell r="D17">
            <v>347677555.23029995</v>
          </cell>
          <cell r="E17">
            <v>240996443.8036482</v>
          </cell>
          <cell r="F17">
            <v>301032985.12163073</v>
          </cell>
          <cell r="G17">
            <v>278144630</v>
          </cell>
          <cell r="H17">
            <v>324411265</v>
          </cell>
          <cell r="I17">
            <v>437135857.30000001</v>
          </cell>
          <cell r="J17">
            <v>540434815</v>
          </cell>
          <cell r="K17">
            <v>354060396.99000001</v>
          </cell>
          <cell r="L17">
            <v>386325110.78222775</v>
          </cell>
          <cell r="M17">
            <v>344368655</v>
          </cell>
          <cell r="N17">
            <v>535025723</v>
          </cell>
          <cell r="O17">
            <v>1436352171.0000005</v>
          </cell>
          <cell r="P17">
            <v>5525965608.2278061</v>
          </cell>
        </row>
        <row r="18">
          <cell r="B18" t="str">
            <v>070</v>
          </cell>
          <cell r="C18" t="str">
            <v>070 TIENDA KOAJ TINTAL</v>
          </cell>
          <cell r="D18">
            <v>462278684.04498619</v>
          </cell>
          <cell r="E18">
            <v>281208936.42484295</v>
          </cell>
          <cell r="F18">
            <v>352305565.79308283</v>
          </cell>
          <cell r="G18">
            <v>309791045.32476878</v>
          </cell>
          <cell r="H18">
            <v>359095015</v>
          </cell>
          <cell r="I18">
            <v>561112019.99999988</v>
          </cell>
          <cell r="J18">
            <v>745948662.89999998</v>
          </cell>
          <cell r="K18">
            <v>400322076.5</v>
          </cell>
          <cell r="L18">
            <v>453960137</v>
          </cell>
          <cell r="M18">
            <v>399183895.00000012</v>
          </cell>
          <cell r="N18">
            <v>608059344</v>
          </cell>
          <cell r="O18">
            <v>1527776661.5</v>
          </cell>
          <cell r="P18">
            <v>6461042043.4876804</v>
          </cell>
        </row>
        <row r="19">
          <cell r="B19" t="str">
            <v>073</v>
          </cell>
          <cell r="C19" t="str">
            <v>073 TIENDA KOAJ BOSA PORVENIR</v>
          </cell>
          <cell r="D19">
            <v>268081347.85609999</v>
          </cell>
          <cell r="E19">
            <v>176365617.66930041</v>
          </cell>
          <cell r="F19">
            <v>212770196.61930004</v>
          </cell>
          <cell r="G19">
            <v>179373856.78</v>
          </cell>
          <cell r="H19">
            <v>215364336.0248</v>
          </cell>
          <cell r="I19">
            <v>343154585</v>
          </cell>
          <cell r="J19">
            <v>407636160</v>
          </cell>
          <cell r="K19">
            <v>264764497.19</v>
          </cell>
          <cell r="L19">
            <v>287022060</v>
          </cell>
          <cell r="M19">
            <v>275349980</v>
          </cell>
          <cell r="N19">
            <v>406138109</v>
          </cell>
          <cell r="O19">
            <v>1066323821</v>
          </cell>
          <cell r="P19">
            <v>4102344567.1395006</v>
          </cell>
        </row>
        <row r="20">
          <cell r="B20" t="str">
            <v>076</v>
          </cell>
          <cell r="C20" t="str">
            <v>076 TIENDA KOAJ SANTAFE 1</v>
          </cell>
          <cell r="D20">
            <v>593226907.03832209</v>
          </cell>
          <cell r="E20">
            <v>375733132.58420038</v>
          </cell>
          <cell r="F20">
            <v>463070030.7895</v>
          </cell>
          <cell r="G20">
            <v>442938085</v>
          </cell>
          <cell r="H20">
            <v>484935270</v>
          </cell>
          <cell r="I20">
            <v>639551987.74169993</v>
          </cell>
          <cell r="J20">
            <v>753667501.5</v>
          </cell>
          <cell r="K20">
            <v>546234358.5</v>
          </cell>
          <cell r="L20">
            <v>573408530</v>
          </cell>
          <cell r="M20">
            <v>536268865</v>
          </cell>
          <cell r="N20">
            <v>819863899.00000012</v>
          </cell>
          <cell r="O20">
            <v>2015472921.0999949</v>
          </cell>
          <cell r="P20">
            <v>8244371488.2537174</v>
          </cell>
        </row>
        <row r="21">
          <cell r="B21" t="str">
            <v>079</v>
          </cell>
          <cell r="C21" t="str">
            <v>079 T.KOAJ PLAZA AMERICAS 1</v>
          </cell>
          <cell r="D21">
            <v>498024852.38550007</v>
          </cell>
          <cell r="E21">
            <v>386812138.67260051</v>
          </cell>
          <cell r="F21">
            <v>459000954.46879995</v>
          </cell>
          <cell r="G21">
            <v>441507825</v>
          </cell>
          <cell r="H21">
            <v>513172795</v>
          </cell>
          <cell r="I21">
            <v>684456598</v>
          </cell>
          <cell r="J21">
            <v>871372837</v>
          </cell>
          <cell r="K21">
            <v>553060480</v>
          </cell>
          <cell r="L21">
            <v>632841265</v>
          </cell>
          <cell r="M21">
            <v>616878320</v>
          </cell>
          <cell r="N21">
            <v>818927402</v>
          </cell>
          <cell r="O21">
            <v>1977606648</v>
          </cell>
          <cell r="P21">
            <v>8453662115.5269003</v>
          </cell>
        </row>
        <row r="22">
          <cell r="B22" t="str">
            <v>081</v>
          </cell>
          <cell r="C22" t="str">
            <v>081 TIENDA KOAJ K-60</v>
          </cell>
          <cell r="D22">
            <v>1096757221.9647732</v>
          </cell>
          <cell r="E22">
            <v>587573602.3627001</v>
          </cell>
          <cell r="F22">
            <v>732048483.36559987</v>
          </cell>
          <cell r="G22">
            <v>675498395</v>
          </cell>
          <cell r="H22">
            <v>786478289.93760002</v>
          </cell>
          <cell r="I22">
            <v>1209992571.2348001</v>
          </cell>
          <cell r="J22">
            <v>1344851495</v>
          </cell>
          <cell r="K22">
            <v>966895585</v>
          </cell>
          <cell r="L22">
            <v>950621296.52958572</v>
          </cell>
          <cell r="M22">
            <v>941983785</v>
          </cell>
          <cell r="N22">
            <v>1589613995.0000002</v>
          </cell>
          <cell r="O22">
            <v>4753943307.0087891</v>
          </cell>
          <cell r="P22">
            <v>15636258027.403849</v>
          </cell>
        </row>
        <row r="23">
          <cell r="B23" t="str">
            <v>083</v>
          </cell>
          <cell r="C23" t="str">
            <v>083 TIENDA KOAJ CENTRO BOGOTA</v>
          </cell>
          <cell r="D23">
            <v>502600507.92280006</v>
          </cell>
          <cell r="E23">
            <v>317485996.90431648</v>
          </cell>
          <cell r="F23">
            <v>337664609.91761541</v>
          </cell>
          <cell r="G23">
            <v>321295293.30000001</v>
          </cell>
          <cell r="H23">
            <v>373708217</v>
          </cell>
          <cell r="I23">
            <v>515888940.29999995</v>
          </cell>
          <cell r="J23">
            <v>649705585</v>
          </cell>
          <cell r="K23">
            <v>389915755</v>
          </cell>
          <cell r="L23">
            <v>448239310</v>
          </cell>
          <cell r="M23">
            <v>402256895.00000024</v>
          </cell>
          <cell r="N23">
            <v>485976783</v>
          </cell>
          <cell r="O23">
            <v>1729173298</v>
          </cell>
          <cell r="P23">
            <v>6473911191.3447323</v>
          </cell>
        </row>
        <row r="24">
          <cell r="B24" t="str">
            <v>086</v>
          </cell>
          <cell r="C24" t="str">
            <v>086 TIENDA KOAJ KENNEDY 1</v>
          </cell>
          <cell r="D24">
            <v>150595298.55155</v>
          </cell>
          <cell r="E24">
            <v>158351580</v>
          </cell>
          <cell r="F24">
            <v>212487577</v>
          </cell>
          <cell r="G24">
            <v>236581885</v>
          </cell>
          <cell r="H24">
            <v>285148634</v>
          </cell>
          <cell r="I24">
            <v>321698145</v>
          </cell>
          <cell r="J24">
            <v>251340130</v>
          </cell>
          <cell r="K24">
            <v>318608851</v>
          </cell>
          <cell r="L24">
            <v>314410070</v>
          </cell>
          <cell r="M24">
            <v>325988265</v>
          </cell>
          <cell r="N24">
            <v>517891315</v>
          </cell>
          <cell r="O24">
            <v>1342437895</v>
          </cell>
          <cell r="P24">
            <v>4435539645.5515499</v>
          </cell>
        </row>
        <row r="25">
          <cell r="B25" t="str">
            <v>087</v>
          </cell>
          <cell r="C25" t="str">
            <v>087 TIENDA KOAJ SANTAFE 2</v>
          </cell>
          <cell r="D25">
            <v>217908864.81830001</v>
          </cell>
          <cell r="E25">
            <v>136078034.22077999</v>
          </cell>
          <cell r="F25">
            <v>158462326.89999998</v>
          </cell>
          <cell r="G25">
            <v>153374983</v>
          </cell>
          <cell r="H25">
            <v>163240745</v>
          </cell>
          <cell r="I25">
            <v>228904321</v>
          </cell>
          <cell r="J25">
            <v>266067443</v>
          </cell>
          <cell r="K25">
            <v>212817975</v>
          </cell>
          <cell r="L25">
            <v>213092920</v>
          </cell>
          <cell r="M25">
            <v>187760279</v>
          </cell>
          <cell r="N25">
            <v>310416919</v>
          </cell>
          <cell r="O25">
            <v>960763387</v>
          </cell>
          <cell r="P25">
            <v>3208888197.9390802</v>
          </cell>
        </row>
        <row r="26">
          <cell r="B26" t="str">
            <v>089</v>
          </cell>
          <cell r="C26" t="str">
            <v>089 TIENDA KOAJ FONTANAR CHIA</v>
          </cell>
          <cell r="D26">
            <v>276040779.68209988</v>
          </cell>
          <cell r="E26">
            <v>157876906.27760026</v>
          </cell>
          <cell r="F26">
            <v>178413587.51229998</v>
          </cell>
          <cell r="G26">
            <v>180320615</v>
          </cell>
          <cell r="H26">
            <v>194646919.84450001</v>
          </cell>
          <cell r="I26">
            <v>312111460</v>
          </cell>
          <cell r="J26">
            <v>298137045</v>
          </cell>
          <cell r="K26">
            <v>265395215</v>
          </cell>
          <cell r="L26">
            <v>274633615</v>
          </cell>
          <cell r="M26">
            <v>241059410</v>
          </cell>
          <cell r="N26">
            <v>481360303</v>
          </cell>
          <cell r="O26">
            <v>1137252602</v>
          </cell>
          <cell r="P26">
            <v>3997248458.3165002</v>
          </cell>
        </row>
        <row r="27">
          <cell r="B27" t="str">
            <v>090</v>
          </cell>
          <cell r="C27" t="str">
            <v>090 TIENDA KOAJ KENNEDY 2</v>
          </cell>
          <cell r="D27">
            <v>337964179.08455002</v>
          </cell>
          <cell r="E27">
            <v>227871073.45172155</v>
          </cell>
          <cell r="F27">
            <v>287420266.94981271</v>
          </cell>
          <cell r="G27">
            <v>298967480</v>
          </cell>
          <cell r="H27">
            <v>358854802.00000006</v>
          </cell>
          <cell r="I27">
            <v>470464864</v>
          </cell>
          <cell r="J27">
            <v>538612979.90000105</v>
          </cell>
          <cell r="K27">
            <v>411866907.69999999</v>
          </cell>
          <cell r="L27">
            <v>469800954</v>
          </cell>
          <cell r="M27">
            <v>454233804.10000008</v>
          </cell>
          <cell r="N27">
            <v>615044177.30000007</v>
          </cell>
          <cell r="O27">
            <v>1979009855.5999994</v>
          </cell>
          <cell r="P27">
            <v>6450111344.0860844</v>
          </cell>
        </row>
        <row r="28">
          <cell r="B28" t="str">
            <v>092</v>
          </cell>
          <cell r="C28" t="str">
            <v>092 TIENDA KOAJ COLINA</v>
          </cell>
          <cell r="D28">
            <v>264194440.75190002</v>
          </cell>
          <cell r="E28">
            <v>150034178.72100002</v>
          </cell>
          <cell r="F28">
            <v>170434101.17120004</v>
          </cell>
          <cell r="G28">
            <v>156859565</v>
          </cell>
          <cell r="H28">
            <v>178381420</v>
          </cell>
          <cell r="I28">
            <v>250186620</v>
          </cell>
          <cell r="J28">
            <v>268130725</v>
          </cell>
          <cell r="K28">
            <v>207761190</v>
          </cell>
          <cell r="L28">
            <v>240455310</v>
          </cell>
          <cell r="M28">
            <v>224313795</v>
          </cell>
          <cell r="N28">
            <v>368855975</v>
          </cell>
          <cell r="O28">
            <v>994495613</v>
          </cell>
          <cell r="P28">
            <v>3474102933.6441002</v>
          </cell>
        </row>
        <row r="29">
          <cell r="B29" t="str">
            <v>093</v>
          </cell>
          <cell r="C29" t="str">
            <v>093 TIENDA KOAJ SALITRE N</v>
          </cell>
          <cell r="D29">
            <v>405142772.77178121</v>
          </cell>
          <cell r="E29">
            <v>268065186.01347941</v>
          </cell>
          <cell r="F29">
            <v>290546810.13298863</v>
          </cell>
          <cell r="G29">
            <v>298001207.30000001</v>
          </cell>
          <cell r="H29">
            <v>337445411</v>
          </cell>
          <cell r="I29">
            <v>402488700</v>
          </cell>
          <cell r="J29">
            <v>552833598.70000005</v>
          </cell>
          <cell r="K29">
            <v>319670405</v>
          </cell>
          <cell r="L29">
            <v>382439340</v>
          </cell>
          <cell r="M29">
            <v>338141940</v>
          </cell>
          <cell r="N29">
            <v>435192325</v>
          </cell>
          <cell r="O29">
            <v>1174707791</v>
          </cell>
          <cell r="P29">
            <v>5204675486.9182491</v>
          </cell>
        </row>
        <row r="30">
          <cell r="B30" t="str">
            <v>094</v>
          </cell>
          <cell r="C30" t="str">
            <v xml:space="preserve">094 T. KOAJ GRAN PLAZA BOSA </v>
          </cell>
          <cell r="D30">
            <v>254138520.98910001</v>
          </cell>
          <cell r="E30">
            <v>194122885.74060011</v>
          </cell>
          <cell r="F30">
            <v>237659590.91896164</v>
          </cell>
          <cell r="G30">
            <v>211777453.30000001</v>
          </cell>
          <cell r="H30">
            <v>245118164.56210548</v>
          </cell>
          <cell r="I30">
            <v>375802723</v>
          </cell>
          <cell r="J30">
            <v>460007444.99999994</v>
          </cell>
          <cell r="K30">
            <v>259057809</v>
          </cell>
          <cell r="L30">
            <v>293754735</v>
          </cell>
          <cell r="M30">
            <v>268714665</v>
          </cell>
          <cell r="N30">
            <v>413740525</v>
          </cell>
          <cell r="O30">
            <v>1131664441</v>
          </cell>
          <cell r="P30">
            <v>4345558958.510767</v>
          </cell>
        </row>
        <row r="31">
          <cell r="B31" t="str">
            <v>095</v>
          </cell>
          <cell r="C31" t="str">
            <v>095 T.KOAJ VEINTE DE JULIO</v>
          </cell>
          <cell r="D31">
            <v>191588367.57190001</v>
          </cell>
          <cell r="E31">
            <v>123436928.47540003</v>
          </cell>
          <cell r="F31">
            <v>139588880.30000001</v>
          </cell>
          <cell r="G31">
            <v>132555088.9306</v>
          </cell>
          <cell r="H31">
            <v>149101380</v>
          </cell>
          <cell r="I31">
            <v>237527845</v>
          </cell>
          <cell r="J31">
            <v>286423401</v>
          </cell>
          <cell r="K31">
            <v>164553281.5</v>
          </cell>
          <cell r="L31">
            <v>213564585</v>
          </cell>
          <cell r="M31">
            <v>186154445</v>
          </cell>
          <cell r="N31">
            <v>263427964</v>
          </cell>
          <cell r="O31">
            <v>928079644.99999988</v>
          </cell>
          <cell r="P31">
            <v>3016001811.7779002</v>
          </cell>
        </row>
        <row r="32">
          <cell r="B32" t="str">
            <v>096</v>
          </cell>
          <cell r="C32" t="str">
            <v>096 TIENDA KOAJ LA VICTORIA</v>
          </cell>
          <cell r="D32">
            <v>105204820.97869998</v>
          </cell>
          <cell r="E32">
            <v>127756300</v>
          </cell>
          <cell r="F32">
            <v>152113515</v>
          </cell>
          <cell r="G32">
            <v>141224855</v>
          </cell>
          <cell r="H32">
            <v>170415425</v>
          </cell>
          <cell r="I32">
            <v>187379975</v>
          </cell>
          <cell r="J32">
            <v>151937461</v>
          </cell>
          <cell r="K32">
            <v>162619820</v>
          </cell>
          <cell r="L32">
            <v>158608200</v>
          </cell>
          <cell r="M32">
            <v>156514900</v>
          </cell>
          <cell r="N32">
            <v>307114050</v>
          </cell>
          <cell r="O32">
            <v>770351275</v>
          </cell>
          <cell r="P32">
            <v>2591240596.9786997</v>
          </cell>
        </row>
        <row r="33">
          <cell r="B33" t="str">
            <v>097</v>
          </cell>
          <cell r="C33" t="str">
            <v>097 T. KOAJ GRAN PLAZA ENSUEÑO</v>
          </cell>
          <cell r="D33">
            <v>301540609.11809999</v>
          </cell>
          <cell r="E33">
            <v>206930533.39689994</v>
          </cell>
          <cell r="F33">
            <v>237296664.85299999</v>
          </cell>
          <cell r="G33">
            <v>196860460</v>
          </cell>
          <cell r="H33">
            <v>249392835</v>
          </cell>
          <cell r="I33">
            <v>375258031.5</v>
          </cell>
          <cell r="J33">
            <v>480636235.99999994</v>
          </cell>
          <cell r="K33">
            <v>280967950</v>
          </cell>
          <cell r="L33">
            <v>321431630</v>
          </cell>
          <cell r="M33">
            <v>294559315</v>
          </cell>
          <cell r="N33">
            <v>439347392</v>
          </cell>
          <cell r="O33">
            <v>1164590198</v>
          </cell>
          <cell r="P33">
            <v>4548811854.868</v>
          </cell>
        </row>
        <row r="34">
          <cell r="B34" t="str">
            <v>098</v>
          </cell>
          <cell r="C34" t="str">
            <v>098 TIENDA KOAJ ALAMOS</v>
          </cell>
          <cell r="D34">
            <v>112997684</v>
          </cell>
          <cell r="E34">
            <v>112861390</v>
          </cell>
          <cell r="F34">
            <v>151808985.71790001</v>
          </cell>
          <cell r="G34">
            <v>151362635</v>
          </cell>
          <cell r="H34">
            <v>210454725</v>
          </cell>
          <cell r="I34">
            <v>241672500</v>
          </cell>
          <cell r="J34">
            <v>177487985</v>
          </cell>
          <cell r="K34">
            <v>212321921</v>
          </cell>
          <cell r="L34">
            <v>197699571</v>
          </cell>
          <cell r="M34">
            <v>192517975</v>
          </cell>
          <cell r="N34">
            <v>351018650</v>
          </cell>
          <cell r="O34">
            <v>933713095</v>
          </cell>
          <cell r="P34">
            <v>3045917116.7179003</v>
          </cell>
        </row>
        <row r="35">
          <cell r="B35" t="str">
            <v>099</v>
          </cell>
          <cell r="C35" t="str">
            <v>099 TIENDA KOAJ SANTA LIBRADA</v>
          </cell>
          <cell r="D35">
            <v>131423759.19295001</v>
          </cell>
          <cell r="E35">
            <v>156370330</v>
          </cell>
          <cell r="F35">
            <v>197110630</v>
          </cell>
          <cell r="G35">
            <v>197017365</v>
          </cell>
          <cell r="H35">
            <v>224815487.5</v>
          </cell>
          <cell r="I35">
            <v>266360999.99999997</v>
          </cell>
          <cell r="J35">
            <v>218519696</v>
          </cell>
          <cell r="K35">
            <v>261589585.63999999</v>
          </cell>
          <cell r="L35">
            <v>274839185</v>
          </cell>
          <cell r="M35">
            <v>273143545</v>
          </cell>
          <cell r="N35">
            <v>293151114</v>
          </cell>
          <cell r="O35">
            <v>797531122</v>
          </cell>
          <cell r="P35">
            <v>3291872819.3329501</v>
          </cell>
        </row>
        <row r="36">
          <cell r="B36" t="str">
            <v>100</v>
          </cell>
          <cell r="C36" t="str">
            <v>100 TIENDA KOAJ CARRERA DECIMA</v>
          </cell>
          <cell r="L36">
            <v>283828975</v>
          </cell>
          <cell r="M36">
            <v>333790111</v>
          </cell>
          <cell r="N36">
            <v>486006075</v>
          </cell>
          <cell r="O36">
            <v>990181175</v>
          </cell>
          <cell r="P36">
            <v>2093806336</v>
          </cell>
        </row>
        <row r="37">
          <cell r="B37" t="str">
            <v>104</v>
          </cell>
          <cell r="C37" t="str">
            <v>104 T.KOAJ CALLE 18 CENTRO</v>
          </cell>
          <cell r="D37">
            <v>295812632.72749996</v>
          </cell>
          <cell r="E37">
            <v>212633154.29330003</v>
          </cell>
          <cell r="F37">
            <v>222802749.0512</v>
          </cell>
          <cell r="G37">
            <v>174092433.96039999</v>
          </cell>
          <cell r="H37">
            <v>209696680</v>
          </cell>
          <cell r="I37">
            <v>279766045</v>
          </cell>
          <cell r="J37">
            <v>386928821</v>
          </cell>
          <cell r="K37">
            <v>230773761</v>
          </cell>
          <cell r="L37">
            <v>240910995</v>
          </cell>
          <cell r="M37">
            <v>229771280.00000024</v>
          </cell>
          <cell r="N37">
            <v>220837775.00000006</v>
          </cell>
          <cell r="O37">
            <v>770036766.49293423</v>
          </cell>
          <cell r="P37">
            <v>3474063093.5253344</v>
          </cell>
        </row>
        <row r="38">
          <cell r="B38" t="str">
            <v>105</v>
          </cell>
          <cell r="C38" t="str">
            <v>105 TIENDA KOAJ SALITRE 2</v>
          </cell>
          <cell r="D38">
            <v>122065624.3946</v>
          </cell>
          <cell r="E38">
            <v>82508492.100000054</v>
          </cell>
          <cell r="F38">
            <v>78664951.600000009</v>
          </cell>
          <cell r="G38">
            <v>77695940</v>
          </cell>
          <cell r="H38">
            <v>93805780</v>
          </cell>
          <cell r="I38">
            <v>117519730</v>
          </cell>
          <cell r="J38">
            <v>154985931</v>
          </cell>
          <cell r="K38">
            <v>95148810</v>
          </cell>
          <cell r="L38">
            <v>108395705</v>
          </cell>
          <cell r="M38">
            <v>93989930</v>
          </cell>
          <cell r="N38">
            <v>121622673</v>
          </cell>
          <cell r="O38">
            <v>306913205</v>
          </cell>
          <cell r="P38">
            <v>1453316772.0946002</v>
          </cell>
        </row>
        <row r="39">
          <cell r="B39" t="str">
            <v>109</v>
          </cell>
          <cell r="C39" t="str">
            <v>109 TIENDA KOAJ CARRERA 7</v>
          </cell>
          <cell r="D39">
            <v>219632447.67585</v>
          </cell>
          <cell r="E39">
            <v>221004925.23589998</v>
          </cell>
          <cell r="F39">
            <v>293766275</v>
          </cell>
          <cell r="G39">
            <v>285331930</v>
          </cell>
          <cell r="H39">
            <v>315636740</v>
          </cell>
          <cell r="I39">
            <v>356208550</v>
          </cell>
          <cell r="J39">
            <v>302125650</v>
          </cell>
          <cell r="K39">
            <v>365573510</v>
          </cell>
          <cell r="L39">
            <v>333354535</v>
          </cell>
          <cell r="M39">
            <v>303978635</v>
          </cell>
          <cell r="N39">
            <v>466488950</v>
          </cell>
          <cell r="O39">
            <v>1404421020</v>
          </cell>
          <cell r="P39">
            <v>4867523167.9117498</v>
          </cell>
        </row>
        <row r="40">
          <cell r="B40" t="str">
            <v>111</v>
          </cell>
          <cell r="C40" t="str">
            <v>111 TIENDA KOAJ TUNAL</v>
          </cell>
          <cell r="D40">
            <v>231192492.8391</v>
          </cell>
          <cell r="E40">
            <v>150715107.80000001</v>
          </cell>
          <cell r="F40">
            <v>171130668.3989</v>
          </cell>
          <cell r="G40">
            <v>175503525</v>
          </cell>
          <cell r="H40">
            <v>192339440.00000006</v>
          </cell>
          <cell r="I40">
            <v>287300738.30000001</v>
          </cell>
          <cell r="J40">
            <v>350103825</v>
          </cell>
          <cell r="K40">
            <v>214069845.5</v>
          </cell>
          <cell r="L40">
            <v>258720515</v>
          </cell>
          <cell r="M40">
            <v>234706160</v>
          </cell>
          <cell r="N40">
            <v>307838669</v>
          </cell>
          <cell r="O40">
            <v>839517009</v>
          </cell>
          <cell r="P40">
            <v>3413137995.8380003</v>
          </cell>
        </row>
        <row r="41">
          <cell r="B41" t="str">
            <v>112</v>
          </cell>
          <cell r="C41" t="str">
            <v>112 TIENDA KOAJ SAUCES</v>
          </cell>
          <cell r="D41">
            <v>419414883.33808964</v>
          </cell>
          <cell r="E41">
            <v>272580395.38125968</v>
          </cell>
          <cell r="F41">
            <v>284018271.903</v>
          </cell>
          <cell r="G41">
            <v>264747456.5117</v>
          </cell>
          <cell r="H41">
            <v>330749060</v>
          </cell>
          <cell r="I41">
            <v>423077907.5</v>
          </cell>
          <cell r="J41">
            <v>550132180</v>
          </cell>
          <cell r="K41">
            <v>364247945</v>
          </cell>
          <cell r="L41">
            <v>394388240</v>
          </cell>
          <cell r="M41">
            <v>357873525</v>
          </cell>
          <cell r="N41">
            <v>502154087</v>
          </cell>
          <cell r="O41">
            <v>1543208193</v>
          </cell>
          <cell r="P41">
            <v>5706592144.6340494</v>
          </cell>
        </row>
        <row r="42">
          <cell r="B42" t="str">
            <v>119</v>
          </cell>
          <cell r="C42" t="str">
            <v>119 TIENDA KOAJ SAN MARTIN P1</v>
          </cell>
          <cell r="D42">
            <v>241450815.67210001</v>
          </cell>
          <cell r="E42">
            <v>148936260.49440002</v>
          </cell>
          <cell r="F42">
            <v>154530656.16532868</v>
          </cell>
          <cell r="G42">
            <v>137350095</v>
          </cell>
          <cell r="H42">
            <v>172553535</v>
          </cell>
          <cell r="I42">
            <v>222509670</v>
          </cell>
          <cell r="J42">
            <v>274441882</v>
          </cell>
          <cell r="K42">
            <v>195340305</v>
          </cell>
          <cell r="L42">
            <v>181942600</v>
          </cell>
          <cell r="M42">
            <v>188280631</v>
          </cell>
          <cell r="N42">
            <v>194345273</v>
          </cell>
          <cell r="O42">
            <v>529232168.00000012</v>
          </cell>
          <cell r="P42">
            <v>2640913891.3318286</v>
          </cell>
        </row>
        <row r="43">
          <cell r="B43" t="str">
            <v>134</v>
          </cell>
          <cell r="C43" t="str">
            <v>134 TIENDA KOAJ PORTAL 80</v>
          </cell>
          <cell r="D43">
            <v>582703802.76339996</v>
          </cell>
          <cell r="E43">
            <v>382065263.07970035</v>
          </cell>
          <cell r="F43">
            <v>460344220.76371765</v>
          </cell>
          <cell r="G43">
            <v>425960627.29720002</v>
          </cell>
          <cell r="H43">
            <v>477451320</v>
          </cell>
          <cell r="I43">
            <v>695862828.29999995</v>
          </cell>
          <cell r="J43">
            <v>828255658</v>
          </cell>
          <cell r="K43">
            <v>581679900</v>
          </cell>
          <cell r="L43">
            <v>619065385</v>
          </cell>
          <cell r="M43">
            <v>584113205</v>
          </cell>
          <cell r="N43">
            <v>779056565</v>
          </cell>
          <cell r="O43">
            <v>2030885807</v>
          </cell>
          <cell r="P43">
            <v>8447444582.2040176</v>
          </cell>
        </row>
        <row r="44">
          <cell r="B44" t="str">
            <v>138</v>
          </cell>
          <cell r="C44" t="str">
            <v>138 TIENDA KOAJ PALATINO</v>
          </cell>
          <cell r="D44">
            <v>210272967.75560004</v>
          </cell>
          <cell r="E44">
            <v>157916902.62871501</v>
          </cell>
          <cell r="F44">
            <v>162251451.6785</v>
          </cell>
          <cell r="G44">
            <v>151940020</v>
          </cell>
          <cell r="H44">
            <v>175006215</v>
          </cell>
          <cell r="I44">
            <v>232120548.30000001</v>
          </cell>
          <cell r="J44">
            <v>298302885</v>
          </cell>
          <cell r="K44">
            <v>186690575</v>
          </cell>
          <cell r="L44">
            <v>202396790</v>
          </cell>
          <cell r="M44">
            <v>171581360</v>
          </cell>
          <cell r="N44">
            <v>233649591</v>
          </cell>
          <cell r="O44">
            <v>563718257.28256512</v>
          </cell>
          <cell r="P44">
            <v>2745847563.64538</v>
          </cell>
        </row>
        <row r="45">
          <cell r="B45" t="str">
            <v>139</v>
          </cell>
          <cell r="C45" t="str">
            <v>139 TIENDA KOAJ CARRERA 62 A</v>
          </cell>
          <cell r="D45">
            <v>403753811.12814999</v>
          </cell>
          <cell r="E45">
            <v>252955249.15310004</v>
          </cell>
          <cell r="F45">
            <v>286007021.01340002</v>
          </cell>
          <cell r="G45">
            <v>308059160</v>
          </cell>
          <cell r="H45">
            <v>321414735.5</v>
          </cell>
          <cell r="I45">
            <v>480248505.5</v>
          </cell>
          <cell r="J45">
            <v>588382472</v>
          </cell>
          <cell r="K45">
            <v>391828987.19</v>
          </cell>
          <cell r="L45">
            <v>394266816.99999988</v>
          </cell>
          <cell r="M45">
            <v>387065429.5</v>
          </cell>
          <cell r="N45">
            <v>621910626.5</v>
          </cell>
          <cell r="O45">
            <v>1724500481</v>
          </cell>
          <cell r="P45">
            <v>6160393295.4846497</v>
          </cell>
        </row>
        <row r="46">
          <cell r="B46" t="str">
            <v>157</v>
          </cell>
          <cell r="C46" t="str">
            <v>157 TIENDA KOAJ TITAN</v>
          </cell>
          <cell r="D46">
            <v>861587245.80728364</v>
          </cell>
          <cell r="E46">
            <v>554770811.42082429</v>
          </cell>
          <cell r="F46">
            <v>679440928.63749993</v>
          </cell>
          <cell r="G46">
            <v>676884089.39339995</v>
          </cell>
          <cell r="H46">
            <v>747724822.03839993</v>
          </cell>
          <cell r="I46">
            <v>999411710</v>
          </cell>
          <cell r="J46">
            <v>1160257217</v>
          </cell>
          <cell r="K46">
            <v>832583850</v>
          </cell>
          <cell r="L46">
            <v>943896085</v>
          </cell>
          <cell r="M46">
            <v>783395575.00000012</v>
          </cell>
          <cell r="N46">
            <v>1175266679</v>
          </cell>
          <cell r="O46">
            <v>3167898230.5</v>
          </cell>
          <cell r="P46">
            <v>12583117243.797407</v>
          </cell>
        </row>
        <row r="47">
          <cell r="B47" t="str">
            <v>159</v>
          </cell>
          <cell r="C47" t="str">
            <v>159 TIENDA KOAJ RESTREPO</v>
          </cell>
          <cell r="D47">
            <v>668796769.20394993</v>
          </cell>
          <cell r="E47">
            <v>468914548.40360039</v>
          </cell>
          <cell r="F47">
            <v>653546716.18760014</v>
          </cell>
          <cell r="G47">
            <v>550127710.89540005</v>
          </cell>
          <cell r="H47">
            <v>681705314.68130004</v>
          </cell>
          <cell r="I47">
            <v>885604069.99999988</v>
          </cell>
          <cell r="J47">
            <v>1083905786</v>
          </cell>
          <cell r="K47">
            <v>745881760</v>
          </cell>
          <cell r="L47">
            <v>810839250</v>
          </cell>
          <cell r="M47">
            <v>754292346</v>
          </cell>
          <cell r="N47">
            <v>1004519966.7931781</v>
          </cell>
          <cell r="O47">
            <v>2834486168.9999995</v>
          </cell>
          <cell r="P47">
            <v>11142620407.16503</v>
          </cell>
        </row>
        <row r="48">
          <cell r="B48" t="str">
            <v>167</v>
          </cell>
          <cell r="C48" t="str">
            <v>167 TIENDA KOAJ GRAN ESTACION</v>
          </cell>
          <cell r="D48">
            <v>602608836.12600005</v>
          </cell>
          <cell r="E48">
            <v>424762515.47370094</v>
          </cell>
          <cell r="F48">
            <v>557450974.19619703</v>
          </cell>
          <cell r="G48">
            <v>517375600</v>
          </cell>
          <cell r="H48">
            <v>597780350</v>
          </cell>
          <cell r="I48">
            <v>764240510</v>
          </cell>
          <cell r="J48">
            <v>952032028.50000012</v>
          </cell>
          <cell r="K48">
            <v>642083649.29887915</v>
          </cell>
          <cell r="L48">
            <v>694705701</v>
          </cell>
          <cell r="M48">
            <v>662660640</v>
          </cell>
          <cell r="N48">
            <v>799123828.5</v>
          </cell>
          <cell r="O48">
            <v>2088052047.5</v>
          </cell>
          <cell r="P48">
            <v>9302876680.5947781</v>
          </cell>
        </row>
        <row r="49">
          <cell r="B49" t="str">
            <v>170</v>
          </cell>
          <cell r="C49" t="str">
            <v>170 TIENDA KOAJ UNIC.OCCIDENTE</v>
          </cell>
          <cell r="D49">
            <v>335386776.66350007</v>
          </cell>
          <cell r="E49">
            <v>192711817.47190019</v>
          </cell>
          <cell r="F49">
            <v>208612140.33810002</v>
          </cell>
          <cell r="G49">
            <v>206187323.30000001</v>
          </cell>
          <cell r="H49">
            <v>208247603.30000001</v>
          </cell>
          <cell r="I49">
            <v>318883719.99999994</v>
          </cell>
          <cell r="J49">
            <v>458528670</v>
          </cell>
          <cell r="K49">
            <v>273476905</v>
          </cell>
          <cell r="L49">
            <v>310653965</v>
          </cell>
          <cell r="M49">
            <v>266447200</v>
          </cell>
          <cell r="N49">
            <v>413800844</v>
          </cell>
          <cell r="O49">
            <v>1088599784</v>
          </cell>
          <cell r="P49">
            <v>4281536749.0735002</v>
          </cell>
        </row>
        <row r="50">
          <cell r="B50" t="str">
            <v>176</v>
          </cell>
          <cell r="C50" t="str">
            <v>176 TIENDA KOAJ BULEVAR</v>
          </cell>
          <cell r="D50">
            <v>221181219.82379997</v>
          </cell>
          <cell r="E50">
            <v>163161674.75</v>
          </cell>
          <cell r="F50">
            <v>177012403.23500001</v>
          </cell>
          <cell r="G50">
            <v>142465645.54773706</v>
          </cell>
          <cell r="H50">
            <v>178533595</v>
          </cell>
          <cell r="I50">
            <v>220133595</v>
          </cell>
          <cell r="J50">
            <v>292480420</v>
          </cell>
          <cell r="K50">
            <v>211367855</v>
          </cell>
          <cell r="L50">
            <v>211813190</v>
          </cell>
          <cell r="M50">
            <v>191935690</v>
          </cell>
          <cell r="N50">
            <v>259305773</v>
          </cell>
          <cell r="O50">
            <v>760325402</v>
          </cell>
          <cell r="P50">
            <v>3029716463.3565369</v>
          </cell>
        </row>
        <row r="51">
          <cell r="B51" t="str">
            <v>177</v>
          </cell>
          <cell r="C51" t="str">
            <v>177 TIENDA KOAJ FONTIBON</v>
          </cell>
          <cell r="D51">
            <v>520584049.91440004</v>
          </cell>
          <cell r="E51">
            <v>344866975.36887801</v>
          </cell>
          <cell r="F51">
            <v>448980906.91259998</v>
          </cell>
          <cell r="G51">
            <v>407304515</v>
          </cell>
          <cell r="H51">
            <v>489463645.18780005</v>
          </cell>
          <cell r="I51">
            <v>694919505</v>
          </cell>
          <cell r="J51">
            <v>912923596</v>
          </cell>
          <cell r="K51">
            <v>480754124</v>
          </cell>
          <cell r="L51">
            <v>602104476</v>
          </cell>
          <cell r="M51">
            <v>523472210</v>
          </cell>
          <cell r="N51">
            <v>699082655</v>
          </cell>
          <cell r="O51">
            <v>2292922378</v>
          </cell>
          <cell r="P51">
            <v>8417379036.3836784</v>
          </cell>
        </row>
        <row r="52">
          <cell r="B52" t="str">
            <v>178</v>
          </cell>
          <cell r="C52" t="str">
            <v>178 T.KOAJ PLAZA AMERICAS 2</v>
          </cell>
          <cell r="D52">
            <v>281985005.21380001</v>
          </cell>
          <cell r="E52">
            <v>200039068.39270017</v>
          </cell>
          <cell r="F52">
            <v>216049084.41610003</v>
          </cell>
          <cell r="G52">
            <v>187238420.48339999</v>
          </cell>
          <cell r="H52">
            <v>208588685</v>
          </cell>
          <cell r="I52">
            <v>329965313</v>
          </cell>
          <cell r="J52">
            <v>409254137</v>
          </cell>
          <cell r="K52">
            <v>238230170</v>
          </cell>
          <cell r="L52">
            <v>304975545</v>
          </cell>
          <cell r="M52">
            <v>276200685</v>
          </cell>
          <cell r="N52">
            <v>359319250</v>
          </cell>
          <cell r="O52">
            <v>1014263449.0000001</v>
          </cell>
          <cell r="P52">
            <v>4026108812.506</v>
          </cell>
        </row>
        <row r="53">
          <cell r="B53" t="str">
            <v>179</v>
          </cell>
          <cell r="C53" t="str">
            <v>179 TIENDA KOAJ BOSA</v>
          </cell>
          <cell r="D53">
            <v>235472259.2929</v>
          </cell>
          <cell r="E53">
            <v>156042685.99235523</v>
          </cell>
          <cell r="F53">
            <v>187550048.70103049</v>
          </cell>
          <cell r="G53">
            <v>180597567.5</v>
          </cell>
          <cell r="H53">
            <v>254581103.3000001</v>
          </cell>
          <cell r="I53">
            <v>365083657.5</v>
          </cell>
          <cell r="J53">
            <v>403607689.5</v>
          </cell>
          <cell r="K53">
            <v>273418220</v>
          </cell>
          <cell r="L53">
            <v>315338465</v>
          </cell>
          <cell r="M53">
            <v>291423895</v>
          </cell>
          <cell r="N53">
            <v>401498421</v>
          </cell>
          <cell r="O53">
            <v>1260466932</v>
          </cell>
          <cell r="P53">
            <v>4325080944.7862854</v>
          </cell>
        </row>
        <row r="54">
          <cell r="B54" t="str">
            <v>180</v>
          </cell>
          <cell r="C54" t="str">
            <v>180 TIENDA KOAJ MERCURIO</v>
          </cell>
          <cell r="D54">
            <v>539968092.72819996</v>
          </cell>
          <cell r="E54">
            <v>357368743.27750045</v>
          </cell>
          <cell r="F54">
            <v>456833833.56570005</v>
          </cell>
          <cell r="G54">
            <v>418225138.30000001</v>
          </cell>
          <cell r="H54">
            <v>448350844.30000001</v>
          </cell>
          <cell r="I54">
            <v>684973555</v>
          </cell>
          <cell r="J54">
            <v>984315146</v>
          </cell>
          <cell r="K54">
            <v>505821375</v>
          </cell>
          <cell r="L54">
            <v>644623991.00000012</v>
          </cell>
          <cell r="M54">
            <v>610132044</v>
          </cell>
          <cell r="N54">
            <v>817732997</v>
          </cell>
          <cell r="O54">
            <v>2355242151.2886248</v>
          </cell>
          <cell r="P54">
            <v>8823587911.4600258</v>
          </cell>
        </row>
        <row r="55">
          <cell r="B55" t="str">
            <v>184</v>
          </cell>
          <cell r="C55" t="str">
            <v>184 TIENDA KOAJ TOBERIN</v>
          </cell>
          <cell r="D55">
            <v>768154964.47720015</v>
          </cell>
          <cell r="E55">
            <v>476320810.91490072</v>
          </cell>
          <cell r="F55">
            <v>604647730.84086525</v>
          </cell>
          <cell r="G55">
            <v>552734863.60000002</v>
          </cell>
          <cell r="H55">
            <v>666341375</v>
          </cell>
          <cell r="I55">
            <v>888558635</v>
          </cell>
          <cell r="J55">
            <v>1119494448.0000002</v>
          </cell>
          <cell r="K55">
            <v>739239794.5</v>
          </cell>
          <cell r="L55">
            <v>875866340</v>
          </cell>
          <cell r="M55">
            <v>761195545</v>
          </cell>
          <cell r="N55">
            <v>1082795615</v>
          </cell>
          <cell r="O55">
            <v>3300855041</v>
          </cell>
          <cell r="P55">
            <v>11836205163.332966</v>
          </cell>
        </row>
        <row r="56">
          <cell r="B56" t="str">
            <v>187</v>
          </cell>
          <cell r="C56" t="str">
            <v>187 TIENDA KOAJ LAS FERIAS</v>
          </cell>
          <cell r="D56">
            <v>292013242.56120002</v>
          </cell>
          <cell r="E56">
            <v>200595514.56680018</v>
          </cell>
          <cell r="F56">
            <v>238739245.59999999</v>
          </cell>
          <cell r="G56">
            <v>213719205</v>
          </cell>
          <cell r="H56">
            <v>262207295</v>
          </cell>
          <cell r="I56">
            <v>380653795.00000006</v>
          </cell>
          <cell r="J56">
            <v>514710715</v>
          </cell>
          <cell r="K56">
            <v>304717889</v>
          </cell>
          <cell r="L56">
            <v>342114435</v>
          </cell>
          <cell r="M56">
            <v>310252362.99999994</v>
          </cell>
          <cell r="N56">
            <v>421963021.99999994</v>
          </cell>
          <cell r="O56">
            <v>1382034237.7999997</v>
          </cell>
          <cell r="P56">
            <v>4863720959.5279999</v>
          </cell>
        </row>
        <row r="57">
          <cell r="B57" t="str">
            <v>189</v>
          </cell>
          <cell r="C57" t="str">
            <v>189 TIENDA KOAJ MONTEVIDEO</v>
          </cell>
          <cell r="D57">
            <v>184347736.99059999</v>
          </cell>
          <cell r="E57">
            <v>121543082.7462</v>
          </cell>
          <cell r="F57">
            <v>161555964</v>
          </cell>
          <cell r="G57">
            <v>131141225.5</v>
          </cell>
          <cell r="H57">
            <v>156871293.5</v>
          </cell>
          <cell r="I57">
            <v>208540505</v>
          </cell>
          <cell r="J57">
            <v>278011028.19999999</v>
          </cell>
          <cell r="K57">
            <v>154509041.5</v>
          </cell>
          <cell r="L57">
            <v>176050379</v>
          </cell>
          <cell r="M57">
            <v>189676282</v>
          </cell>
          <cell r="N57">
            <v>252210012.79999998</v>
          </cell>
          <cell r="O57">
            <v>790371948.24840963</v>
          </cell>
          <cell r="P57">
            <v>2804828499.4852095</v>
          </cell>
        </row>
        <row r="58">
          <cell r="B58" t="str">
            <v>191</v>
          </cell>
          <cell r="C58" t="str">
            <v>191 TIENDA KOAJ PLAZA CENTRAL</v>
          </cell>
          <cell r="D58">
            <v>468194440.17952627</v>
          </cell>
          <cell r="E58">
            <v>286309821.62660003</v>
          </cell>
          <cell r="F58">
            <v>400335258.3387</v>
          </cell>
          <cell r="G58">
            <v>362432843.30419999</v>
          </cell>
          <cell r="H58">
            <v>442179005</v>
          </cell>
          <cell r="I58">
            <v>653363945</v>
          </cell>
          <cell r="J58">
            <v>631807682</v>
          </cell>
          <cell r="K58">
            <v>437470398</v>
          </cell>
          <cell r="L58">
            <v>501543275</v>
          </cell>
          <cell r="M58">
            <v>450235378</v>
          </cell>
          <cell r="N58">
            <v>719531146.5</v>
          </cell>
          <cell r="O58">
            <v>2034925047</v>
          </cell>
          <cell r="P58">
            <v>7388328239.9490261</v>
          </cell>
        </row>
        <row r="59">
          <cell r="B59" t="str">
            <v>192</v>
          </cell>
          <cell r="C59" t="str">
            <v>192 T.KOAJ GRAN PLAZA SOACHA</v>
          </cell>
          <cell r="D59">
            <v>245568213.91929999</v>
          </cell>
          <cell r="E59">
            <v>150048979.00000006</v>
          </cell>
          <cell r="F59">
            <v>194646368.29999998</v>
          </cell>
          <cell r="G59">
            <v>180521578.09219998</v>
          </cell>
          <cell r="H59">
            <v>217632993.30000001</v>
          </cell>
          <cell r="I59">
            <v>313683070</v>
          </cell>
          <cell r="J59">
            <v>385205456</v>
          </cell>
          <cell r="K59">
            <v>254174730.5</v>
          </cell>
          <cell r="L59">
            <v>291221075</v>
          </cell>
          <cell r="M59">
            <v>260845794.99999997</v>
          </cell>
          <cell r="N59">
            <v>391916229</v>
          </cell>
          <cell r="O59">
            <v>1103277664</v>
          </cell>
          <cell r="P59">
            <v>3988742152.1114998</v>
          </cell>
        </row>
        <row r="60">
          <cell r="B60" t="str">
            <v>193</v>
          </cell>
          <cell r="C60" t="str">
            <v>193 TIENDA KOAJ LA FELICIDAD</v>
          </cell>
          <cell r="D60">
            <v>586538101.2727499</v>
          </cell>
          <cell r="E60">
            <v>332165536.91630018</v>
          </cell>
          <cell r="F60">
            <v>412190761.36609107</v>
          </cell>
          <cell r="G60">
            <v>393089538.60000002</v>
          </cell>
          <cell r="H60">
            <v>432413300</v>
          </cell>
          <cell r="I60">
            <v>708358735</v>
          </cell>
          <cell r="J60">
            <v>742427300</v>
          </cell>
          <cell r="K60">
            <v>500799675</v>
          </cell>
          <cell r="L60">
            <v>538646800</v>
          </cell>
          <cell r="M60">
            <v>502886116.00000006</v>
          </cell>
          <cell r="N60">
            <v>830010460</v>
          </cell>
          <cell r="O60">
            <v>2492915769.0999999</v>
          </cell>
          <cell r="P60">
            <v>8472442093.2551422</v>
          </cell>
        </row>
        <row r="61">
          <cell r="B61" t="str">
            <v>194</v>
          </cell>
          <cell r="C61" t="str">
            <v>194 T.KOAJ VENTURA TERREROS</v>
          </cell>
          <cell r="D61">
            <v>306478845.59740001</v>
          </cell>
          <cell r="E61">
            <v>182877760.84120017</v>
          </cell>
          <cell r="F61">
            <v>201813835.2193</v>
          </cell>
          <cell r="G61">
            <v>201910463.65089998</v>
          </cell>
          <cell r="H61">
            <v>244532250</v>
          </cell>
          <cell r="I61">
            <v>376353280</v>
          </cell>
          <cell r="J61">
            <v>502625295</v>
          </cell>
          <cell r="K61">
            <v>266845789.5</v>
          </cell>
          <cell r="L61">
            <v>280419200</v>
          </cell>
          <cell r="M61">
            <v>267938590</v>
          </cell>
          <cell r="N61">
            <v>382694008</v>
          </cell>
          <cell r="O61">
            <v>1106903182</v>
          </cell>
          <cell r="P61">
            <v>4321392499.8087997</v>
          </cell>
        </row>
        <row r="62">
          <cell r="B62" t="str">
            <v>195</v>
          </cell>
          <cell r="C62" t="str">
            <v>195 TIENDA KOAJ METROPOLIS</v>
          </cell>
          <cell r="D62">
            <v>251247298.61720002</v>
          </cell>
          <cell r="E62">
            <v>127550025.82610025</v>
          </cell>
          <cell r="F62">
            <v>155261924.8195</v>
          </cell>
          <cell r="G62">
            <v>143592603.30000001</v>
          </cell>
          <cell r="H62">
            <v>165680161.59999999</v>
          </cell>
          <cell r="I62">
            <v>249968829.30000001</v>
          </cell>
          <cell r="J62">
            <v>366994657</v>
          </cell>
          <cell r="K62">
            <v>195944665</v>
          </cell>
          <cell r="L62">
            <v>233549440</v>
          </cell>
          <cell r="M62">
            <v>195817470</v>
          </cell>
          <cell r="N62">
            <v>262096946.5</v>
          </cell>
          <cell r="O62">
            <v>763597250.5</v>
          </cell>
          <cell r="P62">
            <v>3111301272.4628</v>
          </cell>
        </row>
        <row r="63">
          <cell r="B63" t="str">
            <v>196</v>
          </cell>
          <cell r="C63" t="str">
            <v>196 TIENDA KOAJ LUCERO</v>
          </cell>
          <cell r="D63">
            <v>66107108.746300004</v>
          </cell>
          <cell r="E63">
            <v>92582290</v>
          </cell>
          <cell r="F63">
            <v>118186138.87890001</v>
          </cell>
          <cell r="G63">
            <v>95444170</v>
          </cell>
          <cell r="H63">
            <v>153196495</v>
          </cell>
          <cell r="I63">
            <v>168082030</v>
          </cell>
          <cell r="J63">
            <v>147765700</v>
          </cell>
          <cell r="K63">
            <v>153430500</v>
          </cell>
          <cell r="L63">
            <v>156807965</v>
          </cell>
          <cell r="M63">
            <v>148749550</v>
          </cell>
          <cell r="N63">
            <v>199535516</v>
          </cell>
          <cell r="O63">
            <v>460126495</v>
          </cell>
          <cell r="P63">
            <v>1960013958.6252</v>
          </cell>
        </row>
        <row r="64">
          <cell r="B64" t="str">
            <v>197</v>
          </cell>
          <cell r="C64" t="str">
            <v>197 TIENDA KOAJ GAITANA</v>
          </cell>
          <cell r="D64">
            <v>206634737.60050002</v>
          </cell>
          <cell r="E64">
            <v>135225902.97860023</v>
          </cell>
          <cell r="F64">
            <v>121800985</v>
          </cell>
          <cell r="G64">
            <v>113964310</v>
          </cell>
          <cell r="H64">
            <v>130989772.32091691</v>
          </cell>
          <cell r="I64">
            <v>208488170</v>
          </cell>
          <cell r="J64">
            <v>277448854.5</v>
          </cell>
          <cell r="K64">
            <v>173849075</v>
          </cell>
          <cell r="L64">
            <v>180570460</v>
          </cell>
          <cell r="M64">
            <v>162106100.00000003</v>
          </cell>
          <cell r="N64">
            <v>252839255</v>
          </cell>
          <cell r="O64">
            <v>945070602</v>
          </cell>
          <cell r="P64">
            <v>2908988224.4000173</v>
          </cell>
        </row>
        <row r="65">
          <cell r="B65" t="str">
            <v>199</v>
          </cell>
          <cell r="C65" t="str">
            <v>199 TIENDA KOAJ EL EDEN</v>
          </cell>
          <cell r="M65">
            <v>452453232</v>
          </cell>
          <cell r="N65">
            <v>387750613.80000001</v>
          </cell>
          <cell r="O65">
            <v>910098493.92000008</v>
          </cell>
          <cell r="P65">
            <v>1750302339.72</v>
          </cell>
        </row>
        <row r="66">
          <cell r="B66" t="str">
            <v>200</v>
          </cell>
          <cell r="C66" t="str">
            <v>200 T.KOAJ VENTURA TERREROS II</v>
          </cell>
          <cell r="M66">
            <v>39935100</v>
          </cell>
          <cell r="N66">
            <v>175626950</v>
          </cell>
          <cell r="O66">
            <v>336700296</v>
          </cell>
          <cell r="P66">
            <v>552262346</v>
          </cell>
        </row>
        <row r="67">
          <cell r="B67" t="str">
            <v>530</v>
          </cell>
          <cell r="C67" t="str">
            <v>530 TIENDA KOAJ SUBA RINCON</v>
          </cell>
          <cell r="N67">
            <v>40042840</v>
          </cell>
          <cell r="O67">
            <v>813006124</v>
          </cell>
          <cell r="P67">
            <v>853048964</v>
          </cell>
        </row>
        <row r="68">
          <cell r="B68" t="str">
            <v>Total</v>
          </cell>
          <cell r="D68">
            <v>22282210846.876961</v>
          </cell>
          <cell r="E68">
            <v>14958403963.034134</v>
          </cell>
          <cell r="F68">
            <v>18198661460.855782</v>
          </cell>
          <cell r="G68">
            <v>17035723044.947725</v>
          </cell>
          <cell r="H68">
            <v>19774784970.365742</v>
          </cell>
          <cell r="I68">
            <v>27567064378.695396</v>
          </cell>
          <cell r="J68">
            <v>32752349453.685505</v>
          </cell>
          <cell r="K68">
            <v>21962504918.758881</v>
          </cell>
          <cell r="L68">
            <v>24661131882.811813</v>
          </cell>
          <cell r="M68">
            <v>23397585686.599998</v>
          </cell>
          <cell r="N68">
            <v>33652891432.693176</v>
          </cell>
          <cell r="O68">
            <v>93661575955.781326</v>
          </cell>
          <cell r="P68">
            <v>349904887995.10645</v>
          </cell>
        </row>
      </sheetData>
      <sheetData sheetId="1" refreshError="1"/>
      <sheetData sheetId="2"/>
      <sheetData sheetId="3" refreshError="1"/>
      <sheetData sheetId="4" refreshError="1"/>
      <sheetData sheetId="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FF704-9163-4336-95F5-8B380B34878C}">
  <sheetPr codeName="mainInforme">
    <tabColor theme="7"/>
  </sheetPr>
  <dimension ref="A1:AX35"/>
  <sheetViews>
    <sheetView tabSelected="1" zoomScale="80" zoomScaleNormal="80" workbookViewId="0">
      <pane xSplit="3" ySplit="3" topLeftCell="Q4" activePane="bottomRight" state="frozen"/>
      <selection pane="topRight" activeCell="D1" sqref="D1"/>
      <selection pane="bottomLeft" activeCell="A4" sqref="A4"/>
      <selection pane="bottomRight" activeCell="T9" sqref="T9"/>
    </sheetView>
  </sheetViews>
  <sheetFormatPr defaultColWidth="11.453125" defaultRowHeight="14.5"/>
  <cols>
    <col min="1" max="1" width="12.7265625" style="281" bestFit="1" customWidth="1"/>
    <col min="2" max="2" width="9.453125" style="400" customWidth="1"/>
    <col min="3" max="3" width="38.453125" style="400" customWidth="1"/>
    <col min="4" max="4" width="25.54296875" style="405" customWidth="1"/>
    <col min="5" max="5" width="11" style="404" customWidth="1"/>
    <col min="6" max="6" width="18.1796875" style="406" customWidth="1"/>
    <col min="7" max="7" width="18.7265625" style="400" customWidth="1"/>
    <col min="8" max="9" width="19.7265625" style="406" customWidth="1"/>
    <col min="10" max="10" width="12.26953125" style="404" customWidth="1"/>
    <col min="11" max="11" width="17.7265625" style="400" customWidth="1"/>
    <col min="12" max="12" width="17" style="319" customWidth="1"/>
    <col min="13" max="13" width="20.26953125" style="276" customWidth="1"/>
    <col min="14" max="14" width="18.453125" style="276" customWidth="1"/>
    <col min="15" max="15" width="18.54296875" style="276" customWidth="1"/>
    <col min="16" max="16" width="13.54296875" style="408" customWidth="1"/>
    <col min="17" max="17" width="14.54296875" style="408" customWidth="1"/>
    <col min="18" max="18" width="10.26953125" style="408" customWidth="1"/>
    <col min="19" max="20" width="16.54296875" style="281" customWidth="1"/>
    <col min="21" max="21" width="15.7265625" style="400" customWidth="1"/>
    <col min="22" max="22" width="16.7265625" style="400" customWidth="1"/>
    <col min="23" max="23" width="18.54296875" style="281" customWidth="1"/>
    <col min="24" max="24" width="17.81640625" style="276" customWidth="1"/>
    <col min="25" max="25" width="13.54296875" style="408" customWidth="1"/>
    <col min="26" max="26" width="15.7265625" style="409" customWidth="1"/>
    <col min="27" max="27" width="15" style="409" customWidth="1"/>
    <col min="28" max="28" width="15.1796875" style="410" customWidth="1"/>
    <col min="29" max="29" width="12.81640625" style="410" customWidth="1"/>
    <col min="30" max="30" width="17.54296875" style="410" customWidth="1"/>
    <col min="31" max="31" width="13" style="410" customWidth="1"/>
    <col min="32" max="32" width="13" style="281" customWidth="1"/>
    <col min="33" max="33" width="15.26953125" style="281" customWidth="1"/>
    <col min="34" max="34" width="15" style="401" customWidth="1"/>
    <col min="35" max="35" width="16.54296875" style="317" customWidth="1"/>
    <col min="36" max="36" width="14.81640625" style="402" customWidth="1"/>
    <col min="37" max="37" width="14.7265625" style="403" customWidth="1"/>
    <col min="38" max="38" width="16.54296875" style="404" customWidth="1"/>
    <col min="39" max="39" width="17.81640625" style="403" customWidth="1"/>
    <col min="40" max="40" width="14.453125" style="403" customWidth="1"/>
    <col min="41" max="41" width="13.54296875" style="403" customWidth="1"/>
    <col min="42" max="42" width="15.1796875" style="403" customWidth="1"/>
    <col min="43" max="43" width="20.81640625" style="400" customWidth="1"/>
    <col min="44" max="45" width="20" style="400" customWidth="1"/>
    <col min="46" max="46" width="19" style="281" customWidth="1"/>
    <col min="47" max="47" width="15" style="281" bestFit="1" customWidth="1"/>
    <col min="48" max="48" width="16.26953125" style="400" customWidth="1"/>
    <col min="49" max="49" width="15.1796875" style="400" customWidth="1"/>
    <col min="50" max="50" width="15.7265625" style="400" customWidth="1"/>
    <col min="51" max="16384" width="11.453125" style="281"/>
  </cols>
  <sheetData>
    <row r="1" spans="1:50" ht="27" customHeight="1" thickBot="1">
      <c r="A1" s="279"/>
      <c r="B1" s="484" t="str">
        <f>UPPER("RESULTADO DEL ")&amp;TEXT(Ajustes!$B$6, "dd")&amp;" AL "&amp;IF(ISBLANK(Ajustes!$B$5),IF(ISBLANK(Ajustes!$B$5),INDEX(meses!$C$1:$C$12, MATCH(Ajustes!$B$4, meses!$A$1:$A$12,0 )),TEXT(Ajustes!$B$5,"dd")),TEXT(Ajustes!$B$5,"dd"))&amp;" "&amp;UPPER(Ajustes!$B$4)&amp;" "&amp;Ajustes!$B$3</f>
        <v>RESULTADO DEL 02 AL 21 ENERO 2025</v>
      </c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4"/>
      <c r="AC1" s="484"/>
      <c r="AD1" s="484"/>
      <c r="AE1" s="484"/>
      <c r="AF1" s="484"/>
      <c r="AG1" s="484"/>
      <c r="AH1" s="484"/>
      <c r="AI1" s="484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</row>
    <row r="2" spans="1:50" ht="27" customHeight="1" thickBot="1">
      <c r="A2" s="482"/>
      <c r="B2" s="280"/>
      <c r="C2" s="280"/>
      <c r="D2" s="282">
        <v>2</v>
      </c>
      <c r="E2" s="485" t="str">
        <f>UPPER("VENTA DEL ") &amp; TEXT(Ajustes!$B$6, "dd") &amp; " AL " &amp; IF(ISBLANK(Ajustes!$B$5),IF(ISBLANK(Ajustes!$B$5),INDEX(meses!$C$1:$C$12, MATCH(Ajustes!$B$4, meses!$A$1:$A$12,0 )),TEXT(Ajustes!$B$5,"dd")),TEXT(Ajustes!$B$5,"dd")) &amp; " DE " &amp; UPPER(Ajustes!$B$4) &amp; " " &amp; Ajustes!$B$2</f>
        <v>VENTA DEL 02 AL 21 DE ENERO 2026</v>
      </c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  <c r="R2" s="487" t="str">
        <f>"CRÉDITOS VS "&amp;UPPER(Ajustes!$B$4)&amp;" "&amp;Ajustes!$B$3&amp;" Y VS META"</f>
        <v>CRÉDITOS VS ENERO 2025 Y VS META</v>
      </c>
      <c r="S2" s="487"/>
      <c r="T2" s="487"/>
      <c r="U2" s="487"/>
      <c r="V2" s="487"/>
      <c r="W2" s="487"/>
      <c r="X2" s="487"/>
      <c r="Y2" s="487"/>
      <c r="Z2" s="283"/>
      <c r="AA2" s="283"/>
      <c r="AB2" s="488" t="str">
        <f>"UXF DE "&amp;UPPER(Ajustes!$B$4)&amp;" "&amp;Ajustes!$B$3&amp;" VS "&amp;Ajustes!$B$2</f>
        <v>UXF DE ENERO 2025 VS 2026</v>
      </c>
      <c r="AC2" s="488"/>
      <c r="AD2" s="488"/>
      <c r="AE2" s="489" t="str">
        <f>"T.PROMEDIO "&amp;Ajustes!$B$3&amp;" VS "&amp;Ajustes!$B$2</f>
        <v>T.PROMEDIO 2025 VS 2026</v>
      </c>
      <c r="AF2" s="489"/>
      <c r="AG2" s="489"/>
      <c r="AH2" s="488" t="str">
        <f>"CRECIMIENTO Y CUMPLIMIENTO EN JEANS VS "&amp;Ajustes!$B$3</f>
        <v>CRECIMIENTO Y CUMPLIMIENTO EN JEANS VS 2025</v>
      </c>
      <c r="AI2" s="488"/>
      <c r="AJ2" s="488"/>
      <c r="AK2" s="488"/>
      <c r="AL2" s="488"/>
      <c r="AM2" s="488"/>
      <c r="AN2" s="488"/>
      <c r="AO2" s="488"/>
      <c r="AP2" s="488"/>
      <c r="AQ2" s="488" t="str">
        <f>"VENTA BONOS VS "&amp;Ajustes!$B$3</f>
        <v>VENTA BONOS VS 2025</v>
      </c>
      <c r="AR2" s="488"/>
      <c r="AS2" s="488"/>
      <c r="AT2" s="490" t="s">
        <v>0</v>
      </c>
      <c r="AU2" s="491"/>
      <c r="AV2" s="491"/>
      <c r="AW2" s="491"/>
      <c r="AX2" s="492"/>
    </row>
    <row r="3" spans="1:50" ht="58.5" customHeight="1" thickBot="1">
      <c r="A3" s="1" t="s">
        <v>1</v>
      </c>
      <c r="B3" s="2" t="s">
        <v>2</v>
      </c>
      <c r="C3" s="3" t="s">
        <v>3</v>
      </c>
      <c r="D3" s="420" t="str">
        <f>"META DEL MES "&amp;UPPER(Ajustes!$B$4)</f>
        <v>META DEL MES ENERO</v>
      </c>
      <c r="E3" s="4" t="str">
        <f>"FACTURAS "&amp;Ajustes!$B$3</f>
        <v>FACTURAS 2025</v>
      </c>
      <c r="F3" s="432" t="str">
        <f>"VENTA "&amp;Ajustes!$B$3&amp;" DIA CALENDARIO"</f>
        <v>VENTA 2025 DIA CALENDARIO</v>
      </c>
      <c r="G3" s="433" t="str">
        <f>"VENTA  COMPARATIVO "&amp;UPPER(Ajustes!$B$4)</f>
        <v>VENTA  COMPARATIVO ENERO</v>
      </c>
      <c r="H3" s="5" t="str">
        <f>UPPER("META DEL ") &amp; TEXT(Ajustes!$B$6, "dd")&amp; " AL " &amp; IF(ISBLANK(Ajustes!$B$5),INDEX(meses!$C$1:$C$12, MATCH(Ajustes!$B$4, meses!$A$1:$A$12,0 )),TEXT(Ajustes!$B$5,"dd")) &amp; " " &amp; UPPER(Ajustes!$B$4) &amp; " " &amp; Ajustes!$B$2 - 1</f>
        <v>META DEL 02 AL 21 ENERO 2025</v>
      </c>
      <c r="I3" s="5" t="str">
        <f>UPPER("META PERMODA ") &amp; TEXT(Ajustes!$B$6, "dd") &amp; " AL " &amp; IF(ISBLANK(Ajustes!$B$5),INDEX(meses!$C$1:$C$12, MATCH(Ajustes!$B$4, meses!$A$1:$A$12,0 )),TEXT(Ajustes!$B$5,"dd")) &amp; " " &amp; UPPER(Ajustes!$B$4)</f>
        <v>META PERMODA 02 AL 21 ENERO</v>
      </c>
      <c r="J3" s="6" t="str">
        <f>"TICKETS "&amp;UPPER(Ajustes!$B$4)&amp;" "&amp;Ajustes!$B$2</f>
        <v>TICKETS ENERO 2026</v>
      </c>
      <c r="K3" s="434" t="str">
        <f>"VENTA "&amp;UPPER(Ajustes!$B$4)&amp;" "&amp;Ajustes!$B$2</f>
        <v>VENTA ENERO 2026</v>
      </c>
      <c r="L3" s="7" t="s">
        <v>4</v>
      </c>
      <c r="M3" s="8" t="str">
        <f>"% CUMPLIMIENTO VS META "&amp;Ajustes!$B$2</f>
        <v>% CUMPLIMIENTO VS META 2026</v>
      </c>
      <c r="N3" s="9" t="s">
        <v>5</v>
      </c>
      <c r="O3" s="9" t="s">
        <v>6</v>
      </c>
      <c r="P3" s="435" t="str">
        <f>"CRECIMIENTO VS "&amp;Ajustes!$B$3&amp;" CALENDARIO"</f>
        <v>CRECIMIENTO VS 2025 CALENDARIO</v>
      </c>
      <c r="Q3" s="436" t="s">
        <v>7</v>
      </c>
      <c r="R3" s="10" t="s">
        <v>8</v>
      </c>
      <c r="S3" s="11" t="s">
        <v>9</v>
      </c>
      <c r="T3" s="12" t="str">
        <f>"VENTA CREDITO "&amp;UPPER(Ajustes!$B$4)&amp;" "&amp;Ajustes!$B$3</f>
        <v>VENTA CREDITO ENERO 2025</v>
      </c>
      <c r="U3" s="13" t="str">
        <f>"PARTICIPACION CREDITO "&amp;Ajustes!$B$3</f>
        <v>PARTICIPACION CREDITO 2025</v>
      </c>
      <c r="V3" s="14" t="str">
        <f>"VENTA CREDITOS "&amp;UPPER(Ajustes!$B$4)&amp;" "&amp;Ajustes!$B$2</f>
        <v>VENTA CREDITOS ENERO 2026</v>
      </c>
      <c r="W3" s="14" t="str">
        <f>"PARTICIPACION CREDITOS "&amp;UPPER(Ajustes!$B$4)&amp;" "&amp;Ajustes!$B$2</f>
        <v>PARTICIPACION CREDITOS ENERO 2026</v>
      </c>
      <c r="X3" s="15" t="s">
        <v>10</v>
      </c>
      <c r="Y3" s="16" t="str">
        <f>"CRECIMIENTO CRÉDITOS VS "&amp;Ajustes!$B$3</f>
        <v>CRECIMIENTO CRÉDITOS VS 2025</v>
      </c>
      <c r="Z3" s="272" t="str">
        <f>"UNIDADES "&amp;UPPER(Ajustes!$B$4)&amp;" "&amp;Ajustes!$B$3</f>
        <v>UNIDADES ENERO 2025</v>
      </c>
      <c r="AA3" s="272" t="str">
        <f>"UNIDADES "&amp;UPPER(Ajustes!$B$4)&amp;" "&amp;Ajustes!$B$2</f>
        <v>UNIDADES ENERO 2026</v>
      </c>
      <c r="AB3" s="17" t="str">
        <f>"UXF "&amp;Ajustes!$B$3</f>
        <v>UXF 2025</v>
      </c>
      <c r="AC3" s="18" t="str">
        <f>"UXF "&amp;Ajustes!$B$2</f>
        <v>UXF 2026</v>
      </c>
      <c r="AD3" s="19" t="str">
        <f>"CRECIMIENTO UXF VS "&amp;Ajustes!$B$3</f>
        <v>CRECIMIENTO UXF VS 2025</v>
      </c>
      <c r="AE3" s="20" t="str">
        <f>"TIQUET PROMEDIO "&amp;Ajustes!$B$3</f>
        <v>TIQUET PROMEDIO 2025</v>
      </c>
      <c r="AF3" s="21" t="str">
        <f>"TIQUET PROMEDIO "&amp;Ajustes!$B$2</f>
        <v>TIQUET PROMEDIO 2026</v>
      </c>
      <c r="AG3" s="22" t="str">
        <f>"CRECIMIENTO EN EL TIQUET VS "&amp;Ajustes!$B$3</f>
        <v>CRECIMIENTO EN EL TIQUET VS 2025</v>
      </c>
      <c r="AH3" s="23" t="str">
        <f>"UNIDADES DE JEANS "&amp;UPPER(Ajustes!$B$4)&amp;" "&amp;Ajustes!$B$3</f>
        <v>UNIDADES DE JEANS ENERO 2025</v>
      </c>
      <c r="AI3" s="24" t="str">
        <f>"VENTA JEANS "&amp;UPPER(Ajustes!$B$4)&amp;" "&amp;Ajustes!$B$3</f>
        <v>VENTA JEANS ENERO 2025</v>
      </c>
      <c r="AJ3" s="25" t="str">
        <f>"PARTICIPACION EN JEANS "&amp;Ajustes!$B$3</f>
        <v>PARTICIPACION EN JEANS 2025</v>
      </c>
      <c r="AK3" s="26" t="str">
        <f>"META UNIDADES "&amp;Ajustes!$B$2</f>
        <v>META UNIDADES 2026</v>
      </c>
      <c r="AL3" s="23" t="str">
        <f>"UNIDADES DE JEANS "&amp;UPPER(Ajustes!$B$4)&amp;" "&amp;Ajustes!$B$2</f>
        <v>UNIDADES DE JEANS ENERO 2026</v>
      </c>
      <c r="AM3" s="24" t="str">
        <f>"VENTA JEANS "&amp;UPPER(Ajustes!$B$4)&amp;" "&amp;Ajustes!$B$2</f>
        <v>VENTA JEANS ENERO 2026</v>
      </c>
      <c r="AN3" s="25" t="str">
        <f>"PARTICIPACION EN JEANS "&amp;Ajustes!$B$2</f>
        <v>PARTICIPACION EN JEANS 2026</v>
      </c>
      <c r="AO3" s="27" t="str">
        <f>"CRECIMIENTO EN JEANS VS "&amp;Ajustes!$B$2</f>
        <v>CRECIMIENTO EN JEANS VS 2026</v>
      </c>
      <c r="AP3" s="28" t="s">
        <v>11</v>
      </c>
      <c r="AQ3" s="29" t="str">
        <f>"VENTA BONOS "&amp;Ajustes!$B$3</f>
        <v>VENTA BONOS 2025</v>
      </c>
      <c r="AR3" s="29" t="str">
        <f>"VENTA BONOS "&amp;Ajustes!$B$2</f>
        <v>VENTA BONOS 2026</v>
      </c>
      <c r="AS3" s="30" t="s">
        <v>12</v>
      </c>
      <c r="AT3" s="31" t="s">
        <v>13</v>
      </c>
      <c r="AU3" s="5" t="s">
        <v>14</v>
      </c>
      <c r="AV3" s="5" t="s">
        <v>15</v>
      </c>
      <c r="AW3" s="5" t="s">
        <v>16</v>
      </c>
      <c r="AX3" s="32" t="s">
        <v>17</v>
      </c>
    </row>
    <row r="4" spans="1:50">
      <c r="A4" s="284" t="s">
        <v>18</v>
      </c>
      <c r="B4" s="421">
        <v>975</v>
      </c>
      <c r="C4" s="286" t="s">
        <v>146</v>
      </c>
      <c r="D4" s="480">
        <v>424689836</v>
      </c>
      <c r="E4" s="287">
        <v>628</v>
      </c>
      <c r="F4" s="288">
        <v>65864402</v>
      </c>
      <c r="G4" s="288">
        <v>2228930</v>
      </c>
      <c r="H4" s="289">
        <f>D4*H$27</f>
        <v>424689836</v>
      </c>
      <c r="I4" s="290">
        <v>77015727.680000007</v>
      </c>
      <c r="J4" s="291">
        <v>553</v>
      </c>
      <c r="K4" s="292">
        <v>56232177</v>
      </c>
      <c r="L4" s="294">
        <v>0.8623469406696157</v>
      </c>
      <c r="M4" s="273">
        <f>K4/H4</f>
        <v>0.13240763548671317</v>
      </c>
      <c r="N4" s="293">
        <f>M4-L4</f>
        <v>-0.72993930518290251</v>
      </c>
      <c r="O4" s="293">
        <f>K4/I4</f>
        <v>0.73013887804377353</v>
      </c>
      <c r="P4" s="294">
        <f t="shared" ref="P4:P15" si="0">K4/F4-1</f>
        <v>-0.14624326202794646</v>
      </c>
      <c r="Q4" s="295">
        <f t="shared" ref="Q4:Q25" si="1">K4/G4-1</f>
        <v>24.228327942106752</v>
      </c>
      <c r="R4" s="294">
        <v>0.40439999999999998</v>
      </c>
      <c r="S4" s="296">
        <f>R4*K4</f>
        <v>22740292.378799997</v>
      </c>
      <c r="T4" s="297">
        <v>13275609</v>
      </c>
      <c r="U4" s="298">
        <f t="shared" ref="U4:U15" si="2">T4/F4</f>
        <v>0.20155969836331317</v>
      </c>
      <c r="V4" s="288">
        <v>11031470</v>
      </c>
      <c r="W4" s="299">
        <f>V4/K4</f>
        <v>0.19617718161614123</v>
      </c>
      <c r="X4" s="273">
        <f>V4/S4</f>
        <v>0.48510677946622466</v>
      </c>
      <c r="Y4" s="295">
        <f t="shared" ref="Y4:Y25" si="3">W4-U4</f>
        <v>-5.3825167471719393E-3</v>
      </c>
      <c r="Z4" s="300">
        <v>1174</v>
      </c>
      <c r="AA4" s="301">
        <v>960</v>
      </c>
      <c r="AB4" s="302">
        <f t="shared" ref="AB4:AB26" si="4">Z4/E4</f>
        <v>1.8694267515923566</v>
      </c>
      <c r="AC4" s="303">
        <f t="shared" ref="AC4:AC26" si="5">AA4/J4</f>
        <v>1.7359855334538878</v>
      </c>
      <c r="AD4" s="304">
        <f t="shared" ref="AD4:AD26" si="6">AC4-AB4</f>
        <v>-0.13344121813846876</v>
      </c>
      <c r="AE4" s="305">
        <f t="shared" ref="AE4:AE26" si="7">F4/E4</f>
        <v>104879.62101910828</v>
      </c>
      <c r="AF4" s="288">
        <f t="shared" ref="AF4:AF26" si="8">K4/J4</f>
        <v>101685.67269439422</v>
      </c>
      <c r="AG4" s="306">
        <f t="shared" ref="AG4:AG25" si="9">AF4-AE4</f>
        <v>-3193.9483247140597</v>
      </c>
      <c r="AH4" s="307">
        <v>165</v>
      </c>
      <c r="AI4" s="308">
        <v>12632414.864800001</v>
      </c>
      <c r="AJ4" s="309">
        <f>AI4/F4</f>
        <v>0.19179426945681524</v>
      </c>
      <c r="AK4" s="310">
        <f>(AH4*22%)+AH4</f>
        <v>201.3</v>
      </c>
      <c r="AL4" s="311">
        <v>160</v>
      </c>
      <c r="AM4" s="312">
        <v>13146260</v>
      </c>
      <c r="AN4" s="313">
        <f t="shared" ref="AN4:AN26" si="10">AM4/K4</f>
        <v>0.23378536456093457</v>
      </c>
      <c r="AO4" s="313">
        <f t="shared" ref="AO4:AO25" si="11">AM4/AI4-1</f>
        <v>4.0676714681989967E-2</v>
      </c>
      <c r="AP4" s="314">
        <f>AL4/AK4</f>
        <v>0.79483358171882756</v>
      </c>
      <c r="AQ4" s="292">
        <v>2080000</v>
      </c>
      <c r="AR4" s="292">
        <v>1100000</v>
      </c>
      <c r="AS4" s="315">
        <f t="shared" ref="AS4:AS25" si="12">AR4-AQ4</f>
        <v>-980000</v>
      </c>
      <c r="AT4" s="316">
        <f t="shared" ref="AT4:AT25" si="13">J4*AE4</f>
        <v>57998430.423566878</v>
      </c>
      <c r="AU4" s="317">
        <f t="shared" ref="AU4:AU25" si="14">K4-AT4</f>
        <v>-1766253.4235668778</v>
      </c>
      <c r="AV4" s="318">
        <f t="shared" ref="AV4:AV30" si="15">AT4/H4</f>
        <v>0.13656656106921022</v>
      </c>
      <c r="AW4" s="319">
        <f t="shared" ref="AW4:AW29" si="16">M4</f>
        <v>0.13240763548671317</v>
      </c>
      <c r="AX4" s="318">
        <f>AW4-AV4</f>
        <v>-4.1589255824970583E-3</v>
      </c>
    </row>
    <row r="5" spans="1:50">
      <c r="A5" s="284" t="s">
        <v>18</v>
      </c>
      <c r="B5" s="36">
        <v>892</v>
      </c>
      <c r="C5" s="33" t="s">
        <v>147</v>
      </c>
      <c r="D5" s="479">
        <v>447815439</v>
      </c>
      <c r="E5" s="34">
        <v>625</v>
      </c>
      <c r="F5" s="35">
        <v>56267082</v>
      </c>
      <c r="G5" s="35">
        <v>1276330</v>
      </c>
      <c r="H5" s="289">
        <f>D5*H$27</f>
        <v>447815439</v>
      </c>
      <c r="I5" s="320">
        <v>69169694.420000002</v>
      </c>
      <c r="J5" s="321">
        <v>522</v>
      </c>
      <c r="K5" s="322">
        <v>51446720</v>
      </c>
      <c r="L5" s="294">
        <v>0.72695789681554435</v>
      </c>
      <c r="M5" s="273">
        <f>K5/H5</f>
        <v>0.11488375683268928</v>
      </c>
      <c r="N5" s="293">
        <f>M5-L5</f>
        <v>-0.61207413998285509</v>
      </c>
      <c r="O5" s="293">
        <f>K5/I5</f>
        <v>0.74377544141823604</v>
      </c>
      <c r="P5" s="294">
        <f t="shared" si="0"/>
        <v>-8.5669308388872878E-2</v>
      </c>
      <c r="Q5" s="295">
        <f t="shared" si="1"/>
        <v>39.308321515595495</v>
      </c>
      <c r="R5" s="294">
        <v>0.45629999999999998</v>
      </c>
      <c r="S5" s="296">
        <f t="shared" ref="S5:S25" si="17">R5*K5</f>
        <v>23475138.335999999</v>
      </c>
      <c r="T5" s="323">
        <v>14529480</v>
      </c>
      <c r="U5" s="298">
        <f t="shared" si="2"/>
        <v>0.2582234493695621</v>
      </c>
      <c r="V5" s="35">
        <v>11347580</v>
      </c>
      <c r="W5" s="324">
        <f t="shared" ref="W5:W16" si="18">V5/K5</f>
        <v>0.22056955234463926</v>
      </c>
      <c r="X5" s="278">
        <f t="shared" ref="X5:X16" si="19">V5/S5</f>
        <v>0.48338714079473871</v>
      </c>
      <c r="Y5" s="295">
        <f t="shared" si="3"/>
        <v>-3.7653897024922833E-2</v>
      </c>
      <c r="Z5" s="325">
        <v>1096</v>
      </c>
      <c r="AA5" s="326">
        <v>815</v>
      </c>
      <c r="AB5" s="327">
        <f t="shared" si="4"/>
        <v>1.7536</v>
      </c>
      <c r="AC5" s="328">
        <f t="shared" si="5"/>
        <v>1.5613026819923372</v>
      </c>
      <c r="AD5" s="304">
        <f t="shared" si="6"/>
        <v>-0.19229731800766281</v>
      </c>
      <c r="AE5" s="329">
        <f t="shared" si="7"/>
        <v>90027.331200000001</v>
      </c>
      <c r="AF5" s="35">
        <f t="shared" si="8"/>
        <v>98556.934865900388</v>
      </c>
      <c r="AG5" s="330">
        <f t="shared" si="9"/>
        <v>8529.6036659003876</v>
      </c>
      <c r="AH5" s="331">
        <v>156</v>
      </c>
      <c r="AI5" s="332">
        <v>12060514.799800001</v>
      </c>
      <c r="AJ5" s="333">
        <f t="shared" ref="AJ5:AJ26" si="20">AI5/F5</f>
        <v>0.21434405999230599</v>
      </c>
      <c r="AK5" s="310">
        <f>(AH5*22%)+AH5</f>
        <v>190.32</v>
      </c>
      <c r="AL5" s="311">
        <v>137</v>
      </c>
      <c r="AM5" s="312">
        <v>11240319.960000001</v>
      </c>
      <c r="AN5" s="313">
        <f t="shared" si="10"/>
        <v>0.2184846761853817</v>
      </c>
      <c r="AO5" s="313">
        <f t="shared" si="11"/>
        <v>-6.8006619403476964E-2</v>
      </c>
      <c r="AP5" s="314">
        <f t="shared" ref="AP5:AP25" si="21">AL5/AK5</f>
        <v>0.71984026902059695</v>
      </c>
      <c r="AQ5" s="322">
        <v>2350000</v>
      </c>
      <c r="AR5" s="322">
        <v>1120000</v>
      </c>
      <c r="AS5" s="315">
        <f t="shared" si="12"/>
        <v>-1230000</v>
      </c>
      <c r="AT5" s="316">
        <f t="shared" si="13"/>
        <v>46994266.886399999</v>
      </c>
      <c r="AU5" s="317">
        <f t="shared" si="14"/>
        <v>4452453.1136000007</v>
      </c>
      <c r="AV5" s="318">
        <f t="shared" si="15"/>
        <v>0.10494114939703988</v>
      </c>
      <c r="AW5" s="319">
        <f t="shared" si="16"/>
        <v>0.11488375683268928</v>
      </c>
      <c r="AX5" s="318">
        <f t="shared" ref="AX5:AX29" si="22">AW5-AV5</f>
        <v>9.9426074356493976E-3</v>
      </c>
    </row>
    <row r="6" spans="1:50" ht="17.25" customHeight="1">
      <c r="A6" s="284" t="s">
        <v>18</v>
      </c>
      <c r="B6" s="422">
        <v>894</v>
      </c>
      <c r="C6" s="33" t="s">
        <v>163</v>
      </c>
      <c r="D6" s="479">
        <v>260089066</v>
      </c>
      <c r="E6" s="34">
        <v>369</v>
      </c>
      <c r="F6" s="35">
        <v>42327151</v>
      </c>
      <c r="G6" s="35">
        <v>1119340</v>
      </c>
      <c r="H6" s="289">
        <f>D6*H$29</f>
        <v>260089066</v>
      </c>
      <c r="I6" s="320">
        <v>54863976.100000001</v>
      </c>
      <c r="J6" s="321">
        <v>302</v>
      </c>
      <c r="K6" s="322">
        <v>29855990</v>
      </c>
      <c r="L6" s="294">
        <v>0.73782415327662865</v>
      </c>
      <c r="M6" s="273">
        <f t="shared" ref="M6:M25" si="23">K6/H6</f>
        <v>0.1147914076480247</v>
      </c>
      <c r="N6" s="293">
        <f>M6-L6</f>
        <v>-0.623032745628604</v>
      </c>
      <c r="O6" s="293">
        <f t="shared" ref="O6:O22" si="24">K6/I6</f>
        <v>0.54418203204196858</v>
      </c>
      <c r="P6" s="294">
        <f t="shared" si="0"/>
        <v>-0.29463738298852193</v>
      </c>
      <c r="Q6" s="295">
        <f t="shared" si="1"/>
        <v>25.672851859131274</v>
      </c>
      <c r="R6" s="294">
        <v>0.39779999999999999</v>
      </c>
      <c r="S6" s="296">
        <f t="shared" si="17"/>
        <v>11876712.821999999</v>
      </c>
      <c r="T6" s="323">
        <v>6544700</v>
      </c>
      <c r="U6" s="298">
        <f t="shared" si="2"/>
        <v>0.15462179346774368</v>
      </c>
      <c r="V6" s="35">
        <v>4671340</v>
      </c>
      <c r="W6" s="324">
        <f t="shared" si="18"/>
        <v>0.15646240503162012</v>
      </c>
      <c r="X6" s="278">
        <f t="shared" si="19"/>
        <v>0.39331926855610894</v>
      </c>
      <c r="Y6" s="295">
        <f t="shared" si="3"/>
        <v>1.8406115638764375E-3</v>
      </c>
      <c r="Z6" s="325">
        <v>804</v>
      </c>
      <c r="AA6" s="326">
        <v>500</v>
      </c>
      <c r="AB6" s="327">
        <f t="shared" si="4"/>
        <v>2.178861788617886</v>
      </c>
      <c r="AC6" s="328">
        <f t="shared" si="5"/>
        <v>1.6556291390728477</v>
      </c>
      <c r="AD6" s="304">
        <f t="shared" si="6"/>
        <v>-0.52323264954503834</v>
      </c>
      <c r="AE6" s="329">
        <f t="shared" si="7"/>
        <v>114707.72628726288</v>
      </c>
      <c r="AF6" s="35">
        <f t="shared" si="8"/>
        <v>98860.894039735096</v>
      </c>
      <c r="AG6" s="330">
        <f t="shared" si="9"/>
        <v>-15846.832247527782</v>
      </c>
      <c r="AH6" s="331">
        <v>82</v>
      </c>
      <c r="AI6" s="332">
        <v>6767411.0232999995</v>
      </c>
      <c r="AJ6" s="333">
        <f t="shared" si="20"/>
        <v>0.15988345219124245</v>
      </c>
      <c r="AK6" s="310">
        <f>(AH6*22%)+AH6</f>
        <v>100.03999999999999</v>
      </c>
      <c r="AL6" s="311">
        <v>84</v>
      </c>
      <c r="AM6" s="312">
        <v>6615230</v>
      </c>
      <c r="AN6" s="313">
        <f t="shared" si="10"/>
        <v>0.2215712826806279</v>
      </c>
      <c r="AO6" s="313">
        <f t="shared" si="11"/>
        <v>-2.2487332714984265E-2</v>
      </c>
      <c r="AP6" s="314">
        <f t="shared" si="21"/>
        <v>0.83966413434626153</v>
      </c>
      <c r="AQ6" s="322">
        <v>880000</v>
      </c>
      <c r="AR6" s="322">
        <v>760000</v>
      </c>
      <c r="AS6" s="315">
        <f t="shared" si="12"/>
        <v>-120000</v>
      </c>
      <c r="AT6" s="316">
        <f t="shared" si="13"/>
        <v>34641733.338753387</v>
      </c>
      <c r="AU6" s="317">
        <f t="shared" si="14"/>
        <v>-4785743.3387533873</v>
      </c>
      <c r="AV6" s="318">
        <f t="shared" si="15"/>
        <v>0.13319180952710019</v>
      </c>
      <c r="AW6" s="319">
        <f t="shared" si="16"/>
        <v>0.1147914076480247</v>
      </c>
      <c r="AX6" s="318">
        <f t="shared" si="22"/>
        <v>-1.840040187907549E-2</v>
      </c>
    </row>
    <row r="7" spans="1:50">
      <c r="A7" s="284" t="s">
        <v>18</v>
      </c>
      <c r="B7" s="422">
        <v>895</v>
      </c>
      <c r="C7" s="33" t="s">
        <v>148</v>
      </c>
      <c r="D7" s="479">
        <v>459433119</v>
      </c>
      <c r="E7" s="34">
        <v>541</v>
      </c>
      <c r="F7" s="35">
        <v>51980316</v>
      </c>
      <c r="G7" s="35">
        <v>2130810</v>
      </c>
      <c r="H7" s="289">
        <f>D7*H$27</f>
        <v>459433119</v>
      </c>
      <c r="I7" s="320">
        <v>63606954.149999999</v>
      </c>
      <c r="J7" s="321">
        <v>619</v>
      </c>
      <c r="K7" s="322">
        <v>63466540</v>
      </c>
      <c r="L7" s="294">
        <v>0.8987274589491655</v>
      </c>
      <c r="M7" s="273">
        <f>K7/H7</f>
        <v>0.1381409771636424</v>
      </c>
      <c r="N7" s="293">
        <f t="shared" ref="N7:N25" si="25">M7-L7</f>
        <v>-0.76058648178552313</v>
      </c>
      <c r="O7" s="293">
        <f t="shared" si="24"/>
        <v>0.99779247172142738</v>
      </c>
      <c r="P7" s="294">
        <f t="shared" si="0"/>
        <v>0.22097256969349699</v>
      </c>
      <c r="Q7" s="295">
        <f t="shared" si="1"/>
        <v>28.785170897452144</v>
      </c>
      <c r="R7" s="294">
        <v>0.40639999999999998</v>
      </c>
      <c r="S7" s="296">
        <f t="shared" si="17"/>
        <v>25792801.855999999</v>
      </c>
      <c r="T7" s="323">
        <v>12456850</v>
      </c>
      <c r="U7" s="298">
        <f t="shared" si="2"/>
        <v>0.23964552273980019</v>
      </c>
      <c r="V7" s="35">
        <v>12111450</v>
      </c>
      <c r="W7" s="324">
        <f t="shared" si="18"/>
        <v>0.19083205103035394</v>
      </c>
      <c r="X7" s="278">
        <f t="shared" si="19"/>
        <v>0.46956705470067411</v>
      </c>
      <c r="Y7" s="295">
        <f t="shared" si="3"/>
        <v>-4.8813471709446249E-2</v>
      </c>
      <c r="Z7" s="325">
        <v>946</v>
      </c>
      <c r="AA7" s="326">
        <v>958</v>
      </c>
      <c r="AB7" s="327">
        <f t="shared" si="4"/>
        <v>1.7486136783733826</v>
      </c>
      <c r="AC7" s="328">
        <f t="shared" si="5"/>
        <v>1.5476575121163167</v>
      </c>
      <c r="AD7" s="304">
        <f t="shared" si="6"/>
        <v>-0.2009561662570658</v>
      </c>
      <c r="AE7" s="329">
        <f t="shared" si="7"/>
        <v>96081.914972273575</v>
      </c>
      <c r="AF7" s="35">
        <f t="shared" si="8"/>
        <v>102530.75928917609</v>
      </c>
      <c r="AG7" s="330">
        <f t="shared" si="9"/>
        <v>6448.8443169025122</v>
      </c>
      <c r="AH7" s="331">
        <v>129</v>
      </c>
      <c r="AI7" s="332">
        <v>10313894</v>
      </c>
      <c r="AJ7" s="333">
        <f t="shared" si="20"/>
        <v>0.1984192246926702</v>
      </c>
      <c r="AK7" s="310">
        <f t="shared" ref="AK7:AK26" si="26">(AH7*22%)+AH7</f>
        <v>157.38</v>
      </c>
      <c r="AL7" s="311">
        <v>184</v>
      </c>
      <c r="AM7" s="312">
        <v>14935280</v>
      </c>
      <c r="AN7" s="313">
        <f t="shared" si="10"/>
        <v>0.23532525957772396</v>
      </c>
      <c r="AO7" s="313">
        <f t="shared" si="11"/>
        <v>0.4480738312804069</v>
      </c>
      <c r="AP7" s="314">
        <f t="shared" si="21"/>
        <v>1.1691447452026942</v>
      </c>
      <c r="AQ7" s="322">
        <v>480000</v>
      </c>
      <c r="AR7" s="322">
        <v>950000</v>
      </c>
      <c r="AS7" s="315">
        <f t="shared" si="12"/>
        <v>470000</v>
      </c>
      <c r="AT7" s="316">
        <f t="shared" si="13"/>
        <v>59474705.36783734</v>
      </c>
      <c r="AU7" s="317">
        <f t="shared" si="14"/>
        <v>3991834.6321626604</v>
      </c>
      <c r="AV7" s="318">
        <f t="shared" si="15"/>
        <v>0.12945236838234411</v>
      </c>
      <c r="AW7" s="319">
        <f t="shared" si="16"/>
        <v>0.1381409771636424</v>
      </c>
      <c r="AX7" s="318">
        <f t="shared" si="22"/>
        <v>8.6886087812982904E-3</v>
      </c>
    </row>
    <row r="8" spans="1:50" ht="14.25" customHeight="1">
      <c r="A8" s="284" t="s">
        <v>18</v>
      </c>
      <c r="B8" s="36">
        <v>857</v>
      </c>
      <c r="C8" s="33" t="s">
        <v>131</v>
      </c>
      <c r="D8" s="479">
        <v>752984749</v>
      </c>
      <c r="E8" s="34">
        <v>1116</v>
      </c>
      <c r="F8" s="35">
        <v>112713660</v>
      </c>
      <c r="G8" s="35">
        <v>2750510</v>
      </c>
      <c r="H8" s="289">
        <f>D8*H$28</f>
        <v>752984749</v>
      </c>
      <c r="I8" s="320">
        <v>139031137.38</v>
      </c>
      <c r="J8" s="321">
        <v>1006</v>
      </c>
      <c r="K8" s="322">
        <v>108109750</v>
      </c>
      <c r="L8" s="294">
        <v>0.74172996961987603</v>
      </c>
      <c r="M8" s="273">
        <f>K8/H8</f>
        <v>0.14357495306986623</v>
      </c>
      <c r="N8" s="293">
        <f t="shared" si="25"/>
        <v>-0.5981550165500098</v>
      </c>
      <c r="O8" s="293">
        <f>K8/I8</f>
        <v>0.77759379688101349</v>
      </c>
      <c r="P8" s="294">
        <f t="shared" si="0"/>
        <v>-4.084606958908088E-2</v>
      </c>
      <c r="Q8" s="295">
        <f t="shared" si="1"/>
        <v>38.305347008372991</v>
      </c>
      <c r="R8" s="294">
        <v>0.30919999999999997</v>
      </c>
      <c r="S8" s="296">
        <f t="shared" si="17"/>
        <v>33427534.699999996</v>
      </c>
      <c r="T8" s="323">
        <v>14073970</v>
      </c>
      <c r="U8" s="298">
        <f t="shared" si="2"/>
        <v>0.12486481230402774</v>
      </c>
      <c r="V8" s="35">
        <v>12827760</v>
      </c>
      <c r="W8" s="324">
        <f t="shared" si="18"/>
        <v>0.11865497792752272</v>
      </c>
      <c r="X8" s="278">
        <f t="shared" si="19"/>
        <v>0.38374831153791311</v>
      </c>
      <c r="Y8" s="295">
        <f t="shared" si="3"/>
        <v>-6.209834376505019E-3</v>
      </c>
      <c r="Z8" s="325">
        <v>1863</v>
      </c>
      <c r="AA8" s="326">
        <v>1737</v>
      </c>
      <c r="AB8" s="327">
        <f t="shared" si="4"/>
        <v>1.6693548387096775</v>
      </c>
      <c r="AC8" s="328">
        <f t="shared" si="5"/>
        <v>1.7266401590457257</v>
      </c>
      <c r="AD8" s="304">
        <f t="shared" si="6"/>
        <v>5.7285320336048162E-2</v>
      </c>
      <c r="AE8" s="329">
        <f t="shared" si="7"/>
        <v>100997.90322580645</v>
      </c>
      <c r="AF8" s="35">
        <f t="shared" si="8"/>
        <v>107464.96023856859</v>
      </c>
      <c r="AG8" s="330">
        <f t="shared" si="9"/>
        <v>6467.0570127621322</v>
      </c>
      <c r="AH8" s="331">
        <v>379</v>
      </c>
      <c r="AI8" s="332">
        <v>30165423.280999999</v>
      </c>
      <c r="AJ8" s="333">
        <f t="shared" si="20"/>
        <v>0.26762881518531118</v>
      </c>
      <c r="AK8" s="310">
        <f t="shared" si="26"/>
        <v>462.38</v>
      </c>
      <c r="AL8" s="311">
        <v>377</v>
      </c>
      <c r="AM8" s="312">
        <v>30857210</v>
      </c>
      <c r="AN8" s="313">
        <f t="shared" si="10"/>
        <v>0.28542485760997505</v>
      </c>
      <c r="AO8" s="313">
        <f t="shared" si="11"/>
        <v>2.2933101669278644E-2</v>
      </c>
      <c r="AP8" s="314">
        <f t="shared" si="21"/>
        <v>0.81534668454517933</v>
      </c>
      <c r="AQ8" s="322">
        <v>7660000</v>
      </c>
      <c r="AR8" s="322">
        <v>3760000</v>
      </c>
      <c r="AS8" s="315">
        <f t="shared" si="12"/>
        <v>-3900000</v>
      </c>
      <c r="AT8" s="316">
        <f t="shared" si="13"/>
        <v>101603890.64516129</v>
      </c>
      <c r="AU8" s="317">
        <f t="shared" si="14"/>
        <v>6505859.354838714</v>
      </c>
      <c r="AV8" s="318">
        <f t="shared" si="15"/>
        <v>0.13493485861446217</v>
      </c>
      <c r="AW8" s="319">
        <f t="shared" si="16"/>
        <v>0.14357495306986623</v>
      </c>
      <c r="AX8" s="318">
        <f t="shared" si="22"/>
        <v>8.6400944554040626E-3</v>
      </c>
    </row>
    <row r="9" spans="1:50">
      <c r="A9" s="284" t="s">
        <v>18</v>
      </c>
      <c r="B9" s="422">
        <v>373</v>
      </c>
      <c r="C9" s="33" t="s">
        <v>149</v>
      </c>
      <c r="D9" s="479">
        <v>408163107</v>
      </c>
      <c r="E9" s="34">
        <v>633</v>
      </c>
      <c r="F9" s="35">
        <v>55005567</v>
      </c>
      <c r="G9" s="35">
        <v>2492690</v>
      </c>
      <c r="H9" s="289">
        <f>D9*H$27</f>
        <v>408163107</v>
      </c>
      <c r="I9" s="320">
        <v>73482351.090000004</v>
      </c>
      <c r="J9" s="334">
        <v>519</v>
      </c>
      <c r="K9" s="322">
        <v>50870260</v>
      </c>
      <c r="L9" s="294">
        <v>0.90407488776665734</v>
      </c>
      <c r="M9" s="273">
        <f>K9/H9</f>
        <v>0.12463218533859308</v>
      </c>
      <c r="N9" s="293">
        <f t="shared" si="25"/>
        <v>-0.77944270242806424</v>
      </c>
      <c r="O9" s="293">
        <f t="shared" si="24"/>
        <v>0.69227861174032013</v>
      </c>
      <c r="P9" s="294">
        <f t="shared" si="0"/>
        <v>-7.5179790438302363E-2</v>
      </c>
      <c r="Q9" s="295">
        <f t="shared" si="1"/>
        <v>19.407776338012347</v>
      </c>
      <c r="R9" s="294">
        <v>0.38440000000000002</v>
      </c>
      <c r="S9" s="296">
        <f t="shared" si="17"/>
        <v>19554527.944000002</v>
      </c>
      <c r="T9" s="323">
        <v>9261270</v>
      </c>
      <c r="U9" s="298">
        <f t="shared" si="2"/>
        <v>0.16836968519931811</v>
      </c>
      <c r="V9" s="35">
        <v>10437910</v>
      </c>
      <c r="W9" s="324">
        <f t="shared" si="18"/>
        <v>0.20518688129370677</v>
      </c>
      <c r="X9" s="278">
        <f t="shared" si="19"/>
        <v>0.5337848108577179</v>
      </c>
      <c r="Y9" s="295">
        <f t="shared" si="3"/>
        <v>3.681719609438866E-2</v>
      </c>
      <c r="Z9" s="325">
        <v>1017</v>
      </c>
      <c r="AA9" s="326">
        <v>826</v>
      </c>
      <c r="AB9" s="327">
        <f t="shared" si="4"/>
        <v>1.6066350710900474</v>
      </c>
      <c r="AC9" s="328">
        <f t="shared" si="5"/>
        <v>1.5915221579961465</v>
      </c>
      <c r="AD9" s="304">
        <f t="shared" si="6"/>
        <v>-1.5112913093900948E-2</v>
      </c>
      <c r="AE9" s="329">
        <f t="shared" si="7"/>
        <v>86896.630331753549</v>
      </c>
      <c r="AF9" s="35">
        <f t="shared" si="8"/>
        <v>98015.915221579955</v>
      </c>
      <c r="AG9" s="330">
        <f t="shared" si="9"/>
        <v>11119.284889826406</v>
      </c>
      <c r="AH9" s="331">
        <v>164</v>
      </c>
      <c r="AI9" s="332">
        <v>12530141.527100001</v>
      </c>
      <c r="AJ9" s="333">
        <f t="shared" si="20"/>
        <v>0.22779769776939124</v>
      </c>
      <c r="AK9" s="310">
        <f t="shared" si="26"/>
        <v>200.07999999999998</v>
      </c>
      <c r="AL9" s="311">
        <v>139</v>
      </c>
      <c r="AM9" s="312">
        <v>11543450</v>
      </c>
      <c r="AN9" s="313">
        <f t="shared" si="10"/>
        <v>0.22691942207490193</v>
      </c>
      <c r="AO9" s="313">
        <f t="shared" si="11"/>
        <v>-7.8745441539187611E-2</v>
      </c>
      <c r="AP9" s="314">
        <f t="shared" si="21"/>
        <v>0.69472211115553784</v>
      </c>
      <c r="AQ9" s="335">
        <v>2195000</v>
      </c>
      <c r="AR9" s="335">
        <v>650000</v>
      </c>
      <c r="AS9" s="315">
        <f t="shared" si="12"/>
        <v>-1545000</v>
      </c>
      <c r="AT9" s="316">
        <f t="shared" si="13"/>
        <v>45099351.142180093</v>
      </c>
      <c r="AU9" s="317">
        <f t="shared" si="14"/>
        <v>5770908.8578199074</v>
      </c>
      <c r="AV9" s="318">
        <f t="shared" si="15"/>
        <v>0.11049345315322703</v>
      </c>
      <c r="AW9" s="319">
        <f t="shared" si="16"/>
        <v>0.12463218533859308</v>
      </c>
      <c r="AX9" s="318">
        <f t="shared" si="22"/>
        <v>1.4138732185366043E-2</v>
      </c>
    </row>
    <row r="10" spans="1:50">
      <c r="A10" s="284" t="s">
        <v>25</v>
      </c>
      <c r="B10" s="36" t="s">
        <v>26</v>
      </c>
      <c r="C10" s="33" t="s">
        <v>150</v>
      </c>
      <c r="D10" s="479">
        <v>112719074</v>
      </c>
      <c r="E10" s="34">
        <v>132</v>
      </c>
      <c r="F10" s="35">
        <v>19416600</v>
      </c>
      <c r="G10" s="35">
        <v>979100</v>
      </c>
      <c r="H10" s="289">
        <f>D10*H$30</f>
        <v>112719074</v>
      </c>
      <c r="I10" s="472">
        <v>20423532.739999998</v>
      </c>
      <c r="J10" s="321">
        <v>157</v>
      </c>
      <c r="K10" s="322">
        <v>18863690</v>
      </c>
      <c r="L10" s="294">
        <v>0.98434326813439754</v>
      </c>
      <c r="M10" s="273">
        <f>K10/H10</f>
        <v>0.16735135705603826</v>
      </c>
      <c r="N10" s="293">
        <f t="shared" si="25"/>
        <v>-0.81699191107835922</v>
      </c>
      <c r="O10" s="293">
        <f>K10/I10</f>
        <v>0.92362522390923063</v>
      </c>
      <c r="P10" s="294">
        <f t="shared" si="0"/>
        <v>-2.8476149274332285E-2</v>
      </c>
      <c r="Q10" s="295">
        <f t="shared" si="1"/>
        <v>18.266356858339289</v>
      </c>
      <c r="R10" s="294">
        <v>0.3574</v>
      </c>
      <c r="S10" s="296">
        <f t="shared" si="17"/>
        <v>6741882.8059999999</v>
      </c>
      <c r="T10" s="323">
        <v>1622260</v>
      </c>
      <c r="U10" s="298">
        <f t="shared" si="2"/>
        <v>8.355015811213086E-2</v>
      </c>
      <c r="V10" s="35">
        <v>3156250</v>
      </c>
      <c r="W10" s="324">
        <f t="shared" si="18"/>
        <v>0.1673188013585889</v>
      </c>
      <c r="X10" s="278">
        <f t="shared" si="19"/>
        <v>0.46815557179235845</v>
      </c>
      <c r="Y10" s="295">
        <f t="shared" si="3"/>
        <v>8.3768643246458038E-2</v>
      </c>
      <c r="Z10" s="325">
        <v>475</v>
      </c>
      <c r="AA10" s="326">
        <v>366</v>
      </c>
      <c r="AB10" s="327">
        <f t="shared" si="4"/>
        <v>3.5984848484848486</v>
      </c>
      <c r="AC10" s="328">
        <f t="shared" si="5"/>
        <v>2.3312101910828025</v>
      </c>
      <c r="AD10" s="304">
        <f t="shared" si="6"/>
        <v>-1.2672746574020461</v>
      </c>
      <c r="AE10" s="329">
        <f t="shared" si="7"/>
        <v>147095.45454545456</v>
      </c>
      <c r="AF10" s="35">
        <f t="shared" si="8"/>
        <v>120150.89171974522</v>
      </c>
      <c r="AG10" s="330">
        <f t="shared" si="9"/>
        <v>-26944.562825709334</v>
      </c>
      <c r="AH10" s="331">
        <v>30</v>
      </c>
      <c r="AI10" s="332">
        <v>2337400</v>
      </c>
      <c r="AJ10" s="333">
        <f t="shared" si="20"/>
        <v>0.12038152920696724</v>
      </c>
      <c r="AK10" s="310">
        <f t="shared" si="26"/>
        <v>36.6</v>
      </c>
      <c r="AL10" s="311">
        <v>49</v>
      </c>
      <c r="AM10" s="312">
        <v>4316730</v>
      </c>
      <c r="AN10" s="313">
        <f t="shared" si="10"/>
        <v>0.22883804812314026</v>
      </c>
      <c r="AO10" s="313">
        <f t="shared" si="11"/>
        <v>0.84680841961153419</v>
      </c>
      <c r="AP10" s="314">
        <f t="shared" si="21"/>
        <v>1.3387978142076502</v>
      </c>
      <c r="AQ10" s="322">
        <v>150000</v>
      </c>
      <c r="AR10" s="322">
        <v>370000</v>
      </c>
      <c r="AS10" s="315">
        <f t="shared" si="12"/>
        <v>220000</v>
      </c>
      <c r="AT10" s="316">
        <f t="shared" si="13"/>
        <v>23093986.363636367</v>
      </c>
      <c r="AU10" s="317">
        <f t="shared" si="14"/>
        <v>-4230296.363636367</v>
      </c>
      <c r="AV10" s="318">
        <f t="shared" si="15"/>
        <v>0.20488090918522242</v>
      </c>
      <c r="AW10" s="319">
        <f t="shared" si="16"/>
        <v>0.16735135705603826</v>
      </c>
      <c r="AX10" s="318">
        <f t="shared" si="22"/>
        <v>-3.7529552129184157E-2</v>
      </c>
    </row>
    <row r="11" spans="1:50" ht="15.75" customHeight="1">
      <c r="A11" s="284" t="s">
        <v>25</v>
      </c>
      <c r="B11" s="36" t="s">
        <v>27</v>
      </c>
      <c r="C11" s="33" t="s">
        <v>28</v>
      </c>
      <c r="D11" s="479">
        <v>181256633</v>
      </c>
      <c r="E11" s="34">
        <v>312</v>
      </c>
      <c r="F11" s="35">
        <v>27011824</v>
      </c>
      <c r="G11" s="35">
        <v>1109320</v>
      </c>
      <c r="H11" s="289">
        <f>D11*H$30</f>
        <v>181256633</v>
      </c>
      <c r="I11" s="472">
        <v>30758138.420000002</v>
      </c>
      <c r="J11" s="321">
        <v>264</v>
      </c>
      <c r="K11" s="322">
        <v>28809705</v>
      </c>
      <c r="L11" s="294">
        <v>0.92892123288424922</v>
      </c>
      <c r="M11" s="273">
        <f>K11/H11</f>
        <v>0.15894427984878215</v>
      </c>
      <c r="N11" s="293">
        <f t="shared" si="25"/>
        <v>-0.76997695303546709</v>
      </c>
      <c r="O11" s="293">
        <f>K11/I11</f>
        <v>0.93665307719881175</v>
      </c>
      <c r="P11" s="294">
        <f t="shared" si="0"/>
        <v>6.655903725716561E-2</v>
      </c>
      <c r="Q11" s="295">
        <f t="shared" si="1"/>
        <v>24.970599105758481</v>
      </c>
      <c r="R11" s="294">
        <v>0.37359999999999999</v>
      </c>
      <c r="S11" s="296">
        <f t="shared" si="17"/>
        <v>10763305.787999999</v>
      </c>
      <c r="T11" s="323">
        <v>4058730</v>
      </c>
      <c r="U11" s="298">
        <f t="shared" si="2"/>
        <v>0.15025753166465175</v>
      </c>
      <c r="V11" s="35">
        <v>4125030</v>
      </c>
      <c r="W11" s="324">
        <f t="shared" si="18"/>
        <v>0.14318195899610911</v>
      </c>
      <c r="X11" s="278">
        <f t="shared" si="19"/>
        <v>0.38324935491463902</v>
      </c>
      <c r="Y11" s="295">
        <f t="shared" si="3"/>
        <v>-7.0755726685426401E-3</v>
      </c>
      <c r="Z11" s="325">
        <v>619</v>
      </c>
      <c r="AA11" s="326">
        <v>501</v>
      </c>
      <c r="AB11" s="327">
        <f t="shared" si="4"/>
        <v>1.983974358974359</v>
      </c>
      <c r="AC11" s="328">
        <f t="shared" si="5"/>
        <v>1.8977272727272727</v>
      </c>
      <c r="AD11" s="304">
        <f t="shared" si="6"/>
        <v>-8.6247086247086324E-2</v>
      </c>
      <c r="AE11" s="329">
        <f t="shared" si="7"/>
        <v>86576.358974358969</v>
      </c>
      <c r="AF11" s="35">
        <f t="shared" si="8"/>
        <v>109127.67045454546</v>
      </c>
      <c r="AG11" s="330">
        <f t="shared" si="9"/>
        <v>22551.311480186487</v>
      </c>
      <c r="AH11" s="331">
        <v>65</v>
      </c>
      <c r="AI11" s="332">
        <v>5483900</v>
      </c>
      <c r="AJ11" s="333">
        <f t="shared" si="20"/>
        <v>0.20301850034266475</v>
      </c>
      <c r="AK11" s="310">
        <f t="shared" si="26"/>
        <v>79.3</v>
      </c>
      <c r="AL11" s="311">
        <v>90</v>
      </c>
      <c r="AM11" s="312">
        <v>7194470</v>
      </c>
      <c r="AN11" s="313">
        <f t="shared" si="10"/>
        <v>0.24972383438150442</v>
      </c>
      <c r="AO11" s="313">
        <f t="shared" si="11"/>
        <v>0.31192581921625129</v>
      </c>
      <c r="AP11" s="314">
        <f>AL11/AK11</f>
        <v>1.1349306431273645</v>
      </c>
      <c r="AQ11" s="322">
        <v>550000</v>
      </c>
      <c r="AR11" s="322">
        <v>300000</v>
      </c>
      <c r="AS11" s="315">
        <f t="shared" si="12"/>
        <v>-250000</v>
      </c>
      <c r="AT11" s="316">
        <f t="shared" si="13"/>
        <v>22856158.769230768</v>
      </c>
      <c r="AU11" s="317">
        <f t="shared" si="14"/>
        <v>5953546.2307692319</v>
      </c>
      <c r="AV11" s="318">
        <f t="shared" si="15"/>
        <v>0.12609833025658579</v>
      </c>
      <c r="AW11" s="319">
        <f t="shared" si="16"/>
        <v>0.15894427984878215</v>
      </c>
      <c r="AX11" s="318">
        <f t="shared" si="22"/>
        <v>3.2845949592196361E-2</v>
      </c>
    </row>
    <row r="12" spans="1:50">
      <c r="A12" s="284" t="s">
        <v>25</v>
      </c>
      <c r="B12" s="422" t="s">
        <v>29</v>
      </c>
      <c r="C12" s="33" t="s">
        <v>30</v>
      </c>
      <c r="D12" s="479">
        <v>246746525</v>
      </c>
      <c r="E12" s="34">
        <v>409</v>
      </c>
      <c r="F12" s="35">
        <v>35577529</v>
      </c>
      <c r="G12" s="35">
        <v>1160700</v>
      </c>
      <c r="H12" s="289">
        <f>D12*H$29</f>
        <v>246746525</v>
      </c>
      <c r="I12" s="472">
        <v>40401626.619999997</v>
      </c>
      <c r="J12" s="321">
        <v>418</v>
      </c>
      <c r="K12" s="322">
        <v>40106896</v>
      </c>
      <c r="L12" s="294">
        <v>0.86570051958364636</v>
      </c>
      <c r="M12" s="273">
        <f t="shared" si="23"/>
        <v>0.1625429010601061</v>
      </c>
      <c r="N12" s="293">
        <f t="shared" si="25"/>
        <v>-0.7031576185235402</v>
      </c>
      <c r="O12" s="293">
        <f t="shared" si="24"/>
        <v>0.99270498134215968</v>
      </c>
      <c r="P12" s="294">
        <f t="shared" si="0"/>
        <v>0.12730976903989033</v>
      </c>
      <c r="Q12" s="295">
        <f>K12/G12-1</f>
        <v>33.554058757646246</v>
      </c>
      <c r="R12" s="294">
        <v>0.30209999999999998</v>
      </c>
      <c r="S12" s="296">
        <f t="shared" si="17"/>
        <v>12116293.281599998</v>
      </c>
      <c r="T12" s="323">
        <v>3785800</v>
      </c>
      <c r="U12" s="298">
        <f t="shared" si="2"/>
        <v>0.10640986337190533</v>
      </c>
      <c r="V12" s="35">
        <v>4008926</v>
      </c>
      <c r="W12" s="324">
        <f t="shared" si="18"/>
        <v>9.9956027512076731E-2</v>
      </c>
      <c r="X12" s="278">
        <f t="shared" si="19"/>
        <v>0.33087066372749663</v>
      </c>
      <c r="Y12" s="295">
        <f>W12-U12</f>
        <v>-6.4538358598286022E-3</v>
      </c>
      <c r="Z12" s="325">
        <v>828</v>
      </c>
      <c r="AA12" s="326">
        <v>773</v>
      </c>
      <c r="AB12" s="327">
        <f t="shared" si="4"/>
        <v>2.024449877750611</v>
      </c>
      <c r="AC12" s="328">
        <f t="shared" si="5"/>
        <v>1.8492822966507176</v>
      </c>
      <c r="AD12" s="304">
        <f>AC12-AB12</f>
        <v>-0.17516758109989339</v>
      </c>
      <c r="AE12" s="329">
        <f t="shared" si="7"/>
        <v>86986.623471882645</v>
      </c>
      <c r="AF12" s="35">
        <f t="shared" si="8"/>
        <v>95949.511961722485</v>
      </c>
      <c r="AG12" s="330">
        <f>AF12-AE12</f>
        <v>8962.8884898398392</v>
      </c>
      <c r="AH12" s="331">
        <v>81</v>
      </c>
      <c r="AI12" s="332">
        <v>6568435.0264120279</v>
      </c>
      <c r="AJ12" s="333">
        <f t="shared" si="20"/>
        <v>0.18462313744195186</v>
      </c>
      <c r="AK12" s="310">
        <f t="shared" si="26"/>
        <v>98.82</v>
      </c>
      <c r="AL12" s="311">
        <v>103</v>
      </c>
      <c r="AM12" s="312">
        <v>8790950</v>
      </c>
      <c r="AN12" s="313">
        <f t="shared" si="10"/>
        <v>0.21918799201015207</v>
      </c>
      <c r="AO12" s="313">
        <f t="shared" si="11"/>
        <v>0.33836293799833905</v>
      </c>
      <c r="AP12" s="314">
        <f>AL12/AK12</f>
        <v>1.0422991297308237</v>
      </c>
      <c r="AQ12" s="322">
        <v>670000</v>
      </c>
      <c r="AR12" s="322">
        <v>530000</v>
      </c>
      <c r="AS12" s="315">
        <f t="shared" si="12"/>
        <v>-140000</v>
      </c>
      <c r="AT12" s="316">
        <f t="shared" si="13"/>
        <v>36360408.611246943</v>
      </c>
      <c r="AU12" s="317">
        <f t="shared" si="14"/>
        <v>3746487.3887530565</v>
      </c>
      <c r="AV12" s="318">
        <f t="shared" si="15"/>
        <v>0.14735935434651792</v>
      </c>
      <c r="AW12" s="319">
        <f t="shared" si="16"/>
        <v>0.1625429010601061</v>
      </c>
      <c r="AX12" s="318">
        <f t="shared" si="22"/>
        <v>1.5183546713588181E-2</v>
      </c>
    </row>
    <row r="13" spans="1:50">
      <c r="A13" s="284" t="s">
        <v>25</v>
      </c>
      <c r="B13" s="422" t="s">
        <v>31</v>
      </c>
      <c r="C13" s="33" t="s">
        <v>32</v>
      </c>
      <c r="D13" s="479">
        <v>136155387</v>
      </c>
      <c r="E13" s="34">
        <v>178</v>
      </c>
      <c r="F13" s="35">
        <v>27324400</v>
      </c>
      <c r="G13" s="35">
        <v>700280</v>
      </c>
      <c r="H13" s="289">
        <f>D13*H$30</f>
        <v>136155387</v>
      </c>
      <c r="I13" s="472">
        <v>31333545.059999999</v>
      </c>
      <c r="J13" s="321">
        <v>262</v>
      </c>
      <c r="K13" s="322">
        <v>27977120</v>
      </c>
      <c r="L13" s="294">
        <v>0.8569868477449144</v>
      </c>
      <c r="M13" s="273">
        <f t="shared" si="23"/>
        <v>0.20547934691706321</v>
      </c>
      <c r="N13" s="293">
        <f t="shared" si="25"/>
        <v>-0.65150750082785125</v>
      </c>
      <c r="O13" s="293">
        <f>K13/I13</f>
        <v>0.89288077510626884</v>
      </c>
      <c r="P13" s="294">
        <f t="shared" si="0"/>
        <v>2.3887807234559633E-2</v>
      </c>
      <c r="Q13" s="295">
        <f t="shared" si="1"/>
        <v>38.951333752213401</v>
      </c>
      <c r="R13" s="294">
        <v>0.38919999999999999</v>
      </c>
      <c r="S13" s="296">
        <f t="shared" si="17"/>
        <v>10888695.104</v>
      </c>
      <c r="T13" s="323">
        <v>3054220</v>
      </c>
      <c r="U13" s="298">
        <f t="shared" si="2"/>
        <v>0.11177628785993471</v>
      </c>
      <c r="V13" s="35">
        <v>6300140</v>
      </c>
      <c r="W13" s="324">
        <f t="shared" si="18"/>
        <v>0.22518901159232974</v>
      </c>
      <c r="X13" s="278">
        <f t="shared" si="19"/>
        <v>0.57859458271410513</v>
      </c>
      <c r="Y13" s="295">
        <f>W13-U13</f>
        <v>0.11341272373239503</v>
      </c>
      <c r="Z13" s="325">
        <v>580</v>
      </c>
      <c r="AA13" s="326">
        <v>488</v>
      </c>
      <c r="AB13" s="327">
        <f t="shared" si="4"/>
        <v>3.2584269662921348</v>
      </c>
      <c r="AC13" s="328">
        <f t="shared" si="5"/>
        <v>1.8625954198473282</v>
      </c>
      <c r="AD13" s="304">
        <f>AC13-AB13</f>
        <v>-1.3958315464448066</v>
      </c>
      <c r="AE13" s="329">
        <f t="shared" si="7"/>
        <v>153507.86516853931</v>
      </c>
      <c r="AF13" s="35">
        <f t="shared" si="8"/>
        <v>106782.90076335878</v>
      </c>
      <c r="AG13" s="330">
        <f>AF13-AE13</f>
        <v>-46724.964405180537</v>
      </c>
      <c r="AH13" s="331">
        <v>72</v>
      </c>
      <c r="AI13" s="332">
        <v>5913200</v>
      </c>
      <c r="AJ13" s="333">
        <f t="shared" si="20"/>
        <v>0.21640731360981394</v>
      </c>
      <c r="AK13" s="310">
        <f t="shared" si="26"/>
        <v>87.84</v>
      </c>
      <c r="AL13" s="311">
        <v>71</v>
      </c>
      <c r="AM13" s="312">
        <v>5905880</v>
      </c>
      <c r="AN13" s="313">
        <f t="shared" si="10"/>
        <v>0.2110967819418153</v>
      </c>
      <c r="AO13" s="313">
        <f t="shared" si="11"/>
        <v>-1.2379084083068426E-3</v>
      </c>
      <c r="AP13" s="314">
        <f>AL13/AK13</f>
        <v>0.80828779599271394</v>
      </c>
      <c r="AQ13" s="322">
        <v>100000</v>
      </c>
      <c r="AR13" s="322">
        <v>360000</v>
      </c>
      <c r="AS13" s="315">
        <f t="shared" si="12"/>
        <v>260000</v>
      </c>
      <c r="AT13" s="316">
        <f t="shared" si="13"/>
        <v>40219060.674157299</v>
      </c>
      <c r="AU13" s="317">
        <f t="shared" si="14"/>
        <v>-12241940.674157299</v>
      </c>
      <c r="AV13" s="318">
        <f t="shared" si="15"/>
        <v>0.29539088801647856</v>
      </c>
      <c r="AW13" s="319">
        <f t="shared" si="16"/>
        <v>0.20547934691706321</v>
      </c>
      <c r="AX13" s="318">
        <f t="shared" si="22"/>
        <v>-8.9911541099415349E-2</v>
      </c>
    </row>
    <row r="14" spans="1:50">
      <c r="A14" s="284" t="s">
        <v>25</v>
      </c>
      <c r="B14" s="422" t="s">
        <v>114</v>
      </c>
      <c r="C14" s="33" t="s">
        <v>152</v>
      </c>
      <c r="D14" s="479">
        <v>292964893</v>
      </c>
      <c r="E14" s="34">
        <v>447</v>
      </c>
      <c r="F14" s="35">
        <v>42949260</v>
      </c>
      <c r="G14" s="35">
        <v>1027260</v>
      </c>
      <c r="H14" s="289">
        <f>D14*H$29</f>
        <v>292964893</v>
      </c>
      <c r="I14" s="320">
        <v>46655685.18</v>
      </c>
      <c r="J14" s="321">
        <v>324</v>
      </c>
      <c r="K14" s="322">
        <v>27257510</v>
      </c>
      <c r="L14" s="294">
        <v>0.71350440210024257</v>
      </c>
      <c r="M14" s="273">
        <f t="shared" si="23"/>
        <v>9.3040192361888222E-2</v>
      </c>
      <c r="N14" s="293">
        <f t="shared" si="25"/>
        <v>-0.62046420973835437</v>
      </c>
      <c r="O14" s="293">
        <f>K14/I14</f>
        <v>0.58422697887383168</v>
      </c>
      <c r="P14" s="294">
        <f t="shared" si="0"/>
        <v>-0.36535553813965593</v>
      </c>
      <c r="Q14" s="295">
        <f t="shared" si="1"/>
        <v>25.534188034188034</v>
      </c>
      <c r="R14" s="294">
        <v>0.30640000000000001</v>
      </c>
      <c r="S14" s="296">
        <f>R14*K14</f>
        <v>8351701.0640000002</v>
      </c>
      <c r="T14" s="323">
        <v>3195760</v>
      </c>
      <c r="U14" s="298">
        <f t="shared" si="2"/>
        <v>7.4407801205422397E-2</v>
      </c>
      <c r="V14" s="35">
        <v>4544530</v>
      </c>
      <c r="W14" s="324">
        <f t="shared" si="18"/>
        <v>0.16672579410224925</v>
      </c>
      <c r="X14" s="278">
        <f t="shared" si="19"/>
        <v>0.54414423662613987</v>
      </c>
      <c r="Y14" s="295">
        <f>W14-U14</f>
        <v>9.231799289682685E-2</v>
      </c>
      <c r="Z14" s="325">
        <v>837</v>
      </c>
      <c r="AA14" s="326">
        <v>487</v>
      </c>
      <c r="AB14" s="327">
        <f t="shared" si="4"/>
        <v>1.8724832214765101</v>
      </c>
      <c r="AC14" s="328">
        <f t="shared" si="5"/>
        <v>1.5030864197530864</v>
      </c>
      <c r="AD14" s="304">
        <f>AC14-AB14</f>
        <v>-0.36939680172342371</v>
      </c>
      <c r="AE14" s="329">
        <f t="shared" si="7"/>
        <v>96083.355704697984</v>
      </c>
      <c r="AF14" s="35">
        <f t="shared" si="8"/>
        <v>84128.117283950618</v>
      </c>
      <c r="AG14" s="330">
        <f>AF14-AE14</f>
        <v>-11955.238420747366</v>
      </c>
      <c r="AH14" s="331">
        <v>107</v>
      </c>
      <c r="AI14" s="332">
        <v>8748090</v>
      </c>
      <c r="AJ14" s="333">
        <f t="shared" si="20"/>
        <v>0.20368430096350904</v>
      </c>
      <c r="AK14" s="310">
        <f t="shared" si="26"/>
        <v>130.54</v>
      </c>
      <c r="AL14" s="311">
        <v>77</v>
      </c>
      <c r="AM14" s="312">
        <v>6564399.9699999997</v>
      </c>
      <c r="AN14" s="313">
        <f t="shared" si="10"/>
        <v>0.24082904014343201</v>
      </c>
      <c r="AO14" s="313">
        <f t="shared" si="11"/>
        <v>-0.24961906313263815</v>
      </c>
      <c r="AP14" s="314">
        <f>AL14/AK14</f>
        <v>0.58985751493795013</v>
      </c>
      <c r="AQ14" s="322">
        <v>0</v>
      </c>
      <c r="AR14" s="322">
        <v>300000</v>
      </c>
      <c r="AS14" s="315">
        <f t="shared" si="12"/>
        <v>300000</v>
      </c>
      <c r="AT14" s="316">
        <f t="shared" si="13"/>
        <v>31131007.248322148</v>
      </c>
      <c r="AU14" s="317">
        <f t="shared" si="14"/>
        <v>-3873497.2483221479</v>
      </c>
      <c r="AV14" s="318">
        <f t="shared" si="15"/>
        <v>0.10626190370298788</v>
      </c>
      <c r="AW14" s="319">
        <f t="shared" si="16"/>
        <v>9.3040192361888222E-2</v>
      </c>
      <c r="AX14" s="318">
        <f t="shared" si="22"/>
        <v>-1.322171134109966E-2</v>
      </c>
    </row>
    <row r="15" spans="1:50">
      <c r="A15" s="284" t="s">
        <v>18</v>
      </c>
      <c r="B15" s="36" t="s">
        <v>33</v>
      </c>
      <c r="C15" s="33" t="s">
        <v>153</v>
      </c>
      <c r="D15" s="479">
        <v>297510759</v>
      </c>
      <c r="E15" s="34">
        <v>386</v>
      </c>
      <c r="F15" s="35">
        <v>34687906</v>
      </c>
      <c r="G15" s="35">
        <v>1366580</v>
      </c>
      <c r="H15" s="289">
        <f>D15*H$29</f>
        <v>297510759</v>
      </c>
      <c r="I15" s="320">
        <v>43143368.609999999</v>
      </c>
      <c r="J15" s="321">
        <v>374</v>
      </c>
      <c r="K15" s="322">
        <v>39409180</v>
      </c>
      <c r="L15" s="294">
        <v>0.83982987818533283</v>
      </c>
      <c r="M15" s="273">
        <f>K15/H15</f>
        <v>0.13246304144583892</v>
      </c>
      <c r="N15" s="293">
        <f t="shared" si="25"/>
        <v>-0.70736683673949385</v>
      </c>
      <c r="O15" s="293">
        <f>K15/I15</f>
        <v>0.91344698547404413</v>
      </c>
      <c r="P15" s="294">
        <f t="shared" si="0"/>
        <v>0.13610720693258327</v>
      </c>
      <c r="Q15" s="295">
        <f t="shared" si="1"/>
        <v>27.837814105284725</v>
      </c>
      <c r="R15" s="294">
        <v>0.44619999999999999</v>
      </c>
      <c r="S15" s="296">
        <f t="shared" si="17"/>
        <v>17584376.116</v>
      </c>
      <c r="T15" s="323">
        <v>8991360</v>
      </c>
      <c r="U15" s="298">
        <f t="shared" si="2"/>
        <v>0.25920734448484728</v>
      </c>
      <c r="V15" s="35">
        <v>9576420</v>
      </c>
      <c r="W15" s="324">
        <f t="shared" si="18"/>
        <v>0.24299972747466453</v>
      </c>
      <c r="X15" s="278">
        <f t="shared" si="19"/>
        <v>0.54459822383385148</v>
      </c>
      <c r="Y15" s="295">
        <f t="shared" si="3"/>
        <v>-1.6207617010182751E-2</v>
      </c>
      <c r="Z15" s="325">
        <v>696</v>
      </c>
      <c r="AA15" s="326">
        <v>592</v>
      </c>
      <c r="AB15" s="327">
        <f t="shared" si="4"/>
        <v>1.8031088082901554</v>
      </c>
      <c r="AC15" s="328">
        <f t="shared" si="5"/>
        <v>1.5828877005347595</v>
      </c>
      <c r="AD15" s="304">
        <f t="shared" si="6"/>
        <v>-0.22022110775539594</v>
      </c>
      <c r="AE15" s="329">
        <f t="shared" si="7"/>
        <v>89865.041450777208</v>
      </c>
      <c r="AF15" s="35">
        <f t="shared" si="8"/>
        <v>105372.13903743315</v>
      </c>
      <c r="AG15" s="330">
        <f t="shared" si="9"/>
        <v>15507.097586655946</v>
      </c>
      <c r="AH15" s="331">
        <v>78</v>
      </c>
      <c r="AI15" s="332">
        <v>6312800</v>
      </c>
      <c r="AJ15" s="333">
        <f t="shared" si="20"/>
        <v>0.18198850054540622</v>
      </c>
      <c r="AK15" s="310">
        <f t="shared" si="26"/>
        <v>95.16</v>
      </c>
      <c r="AL15" s="311">
        <v>93</v>
      </c>
      <c r="AM15" s="312">
        <v>7911910</v>
      </c>
      <c r="AN15" s="313">
        <f t="shared" si="10"/>
        <v>0.20076312168890598</v>
      </c>
      <c r="AO15" s="313">
        <f t="shared" si="11"/>
        <v>0.25331231783043973</v>
      </c>
      <c r="AP15" s="314">
        <f>AL15/AK15</f>
        <v>0.97730138713745274</v>
      </c>
      <c r="AQ15" s="322">
        <v>1000000</v>
      </c>
      <c r="AR15" s="322">
        <v>1250000</v>
      </c>
      <c r="AS15" s="315">
        <f t="shared" si="12"/>
        <v>250000</v>
      </c>
      <c r="AT15" s="316">
        <f t="shared" si="13"/>
        <v>33609525.502590679</v>
      </c>
      <c r="AU15" s="317">
        <f t="shared" si="14"/>
        <v>5799654.4974093214</v>
      </c>
      <c r="AV15" s="318">
        <f t="shared" si="15"/>
        <v>0.1129691094720735</v>
      </c>
      <c r="AW15" s="319">
        <f t="shared" si="16"/>
        <v>0.13246304144583892</v>
      </c>
      <c r="AX15" s="318">
        <f t="shared" si="22"/>
        <v>1.9493931973765422E-2</v>
      </c>
    </row>
    <row r="16" spans="1:50">
      <c r="A16" s="284" t="s">
        <v>18</v>
      </c>
      <c r="B16" s="422" t="s">
        <v>35</v>
      </c>
      <c r="C16" s="33" t="s">
        <v>154</v>
      </c>
      <c r="D16" s="479">
        <v>321838169</v>
      </c>
      <c r="E16" s="34">
        <v>480</v>
      </c>
      <c r="F16" s="35">
        <v>37649112</v>
      </c>
      <c r="G16" s="35">
        <v>2467740</v>
      </c>
      <c r="H16" s="289">
        <f>D16*H$27</f>
        <v>321838169</v>
      </c>
      <c r="I16" s="320">
        <v>46684098.369999997</v>
      </c>
      <c r="J16" s="321">
        <v>382</v>
      </c>
      <c r="K16" s="322">
        <v>34890260</v>
      </c>
      <c r="L16" s="294">
        <v>0.80708956330387049</v>
      </c>
      <c r="M16" s="273">
        <f t="shared" si="23"/>
        <v>0.10840932916194909</v>
      </c>
      <c r="N16" s="293">
        <f>M16-L16</f>
        <v>-0.69868023414192137</v>
      </c>
      <c r="O16" s="293">
        <f t="shared" si="24"/>
        <v>0.74736925887426109</v>
      </c>
      <c r="P16" s="294">
        <f t="shared" ref="P16:P26" si="27">K16/F16-1</f>
        <v>-7.3278009850537784E-2</v>
      </c>
      <c r="Q16" s="295">
        <f t="shared" si="1"/>
        <v>13.138547821083259</v>
      </c>
      <c r="R16" s="294">
        <v>0.26900000000000002</v>
      </c>
      <c r="S16" s="296">
        <f t="shared" si="17"/>
        <v>9385479.9400000013</v>
      </c>
      <c r="T16" s="323">
        <v>4431830</v>
      </c>
      <c r="U16" s="298">
        <f t="shared" ref="U16:U25" si="28">T16/F16</f>
        <v>0.11771406454420492</v>
      </c>
      <c r="V16" s="35">
        <v>4738210</v>
      </c>
      <c r="W16" s="324">
        <f t="shared" si="18"/>
        <v>0.13580322989854476</v>
      </c>
      <c r="X16" s="278">
        <f t="shared" si="19"/>
        <v>0.50484472081243392</v>
      </c>
      <c r="Y16" s="295">
        <f t="shared" si="3"/>
        <v>1.808916535433984E-2</v>
      </c>
      <c r="Z16" s="325">
        <v>776</v>
      </c>
      <c r="AA16" s="326">
        <v>546</v>
      </c>
      <c r="AB16" s="327">
        <f t="shared" si="4"/>
        <v>1.6166666666666667</v>
      </c>
      <c r="AC16" s="328">
        <f t="shared" si="5"/>
        <v>1.4293193717277486</v>
      </c>
      <c r="AD16" s="304">
        <f t="shared" si="6"/>
        <v>-0.18734729493891811</v>
      </c>
      <c r="AE16" s="329">
        <f t="shared" si="7"/>
        <v>78435.649999999994</v>
      </c>
      <c r="AF16" s="35">
        <f t="shared" si="8"/>
        <v>91335.759162303671</v>
      </c>
      <c r="AG16" s="330">
        <f t="shared" si="9"/>
        <v>12900.109162303677</v>
      </c>
      <c r="AH16" s="331">
        <v>93</v>
      </c>
      <c r="AI16" s="332">
        <v>7463772</v>
      </c>
      <c r="AJ16" s="333">
        <f t="shared" si="20"/>
        <v>0.19824563192884867</v>
      </c>
      <c r="AK16" s="310">
        <f t="shared" si="26"/>
        <v>113.46000000000001</v>
      </c>
      <c r="AL16" s="311">
        <v>98</v>
      </c>
      <c r="AM16" s="312">
        <v>7963939.9983999999</v>
      </c>
      <c r="AN16" s="313">
        <f t="shared" si="10"/>
        <v>0.22825682578461726</v>
      </c>
      <c r="AO16" s="313">
        <f t="shared" si="11"/>
        <v>6.7012764912969036E-2</v>
      </c>
      <c r="AP16" s="314">
        <f t="shared" si="21"/>
        <v>0.86374052529525813</v>
      </c>
      <c r="AQ16" s="322">
        <v>2560000</v>
      </c>
      <c r="AR16" s="322">
        <v>1940000</v>
      </c>
      <c r="AS16" s="315">
        <f t="shared" si="12"/>
        <v>-620000</v>
      </c>
      <c r="AT16" s="316">
        <f t="shared" si="13"/>
        <v>29962418.299999997</v>
      </c>
      <c r="AU16" s="317">
        <f t="shared" si="14"/>
        <v>4927841.700000003</v>
      </c>
      <c r="AV16" s="318">
        <f t="shared" si="15"/>
        <v>9.3097777659802677E-2</v>
      </c>
      <c r="AW16" s="319">
        <f t="shared" si="16"/>
        <v>0.10840932916194909</v>
      </c>
      <c r="AX16" s="318">
        <f t="shared" si="22"/>
        <v>1.5311551502146414E-2</v>
      </c>
    </row>
    <row r="17" spans="1:50">
      <c r="A17" s="284" t="s">
        <v>25</v>
      </c>
      <c r="B17" s="36" t="s">
        <v>37</v>
      </c>
      <c r="C17" s="33" t="s">
        <v>155</v>
      </c>
      <c r="D17" s="479">
        <v>200327554</v>
      </c>
      <c r="E17" s="34">
        <v>220</v>
      </c>
      <c r="F17" s="336">
        <v>23313106</v>
      </c>
      <c r="G17" s="336">
        <v>930920</v>
      </c>
      <c r="H17" s="289">
        <f>D17*H$29</f>
        <v>200327554</v>
      </c>
      <c r="I17" s="472">
        <v>29722831.98</v>
      </c>
      <c r="J17" s="321">
        <v>235</v>
      </c>
      <c r="K17" s="322">
        <v>24768170</v>
      </c>
      <c r="L17" s="294">
        <v>0.73551116718184706</v>
      </c>
      <c r="M17" s="273">
        <f>K17/H17</f>
        <v>0.12363835880509977</v>
      </c>
      <c r="N17" s="293">
        <f>M17-L17</f>
        <v>-0.61187280837674729</v>
      </c>
      <c r="O17" s="293">
        <f>K17/I17</f>
        <v>0.8333045120554492</v>
      </c>
      <c r="P17" s="294">
        <f t="shared" si="27"/>
        <v>6.2413991511898859E-2</v>
      </c>
      <c r="Q17" s="295">
        <f t="shared" si="1"/>
        <v>25.606120826709063</v>
      </c>
      <c r="R17" s="294">
        <v>0.45629999999999998</v>
      </c>
      <c r="S17" s="296">
        <f t="shared" si="17"/>
        <v>11301715.970999999</v>
      </c>
      <c r="T17" s="323">
        <v>7358980</v>
      </c>
      <c r="U17" s="298">
        <f t="shared" si="28"/>
        <v>0.31565849698448589</v>
      </c>
      <c r="V17" s="35">
        <v>4789990</v>
      </c>
      <c r="W17" s="324">
        <f t="shared" ref="W17:W25" si="29">V17/K17</f>
        <v>0.19339297170521683</v>
      </c>
      <c r="X17" s="278">
        <f t="shared" ref="X17:X26" si="30">V17/S17</f>
        <v>0.42382855951176163</v>
      </c>
      <c r="Y17" s="295">
        <f t="shared" si="3"/>
        <v>-0.12226552527926907</v>
      </c>
      <c r="Z17" s="325">
        <v>449</v>
      </c>
      <c r="AA17" s="326">
        <v>413</v>
      </c>
      <c r="AB17" s="327">
        <f t="shared" si="4"/>
        <v>2.040909090909091</v>
      </c>
      <c r="AC17" s="328">
        <f t="shared" si="5"/>
        <v>1.7574468085106383</v>
      </c>
      <c r="AD17" s="304">
        <f t="shared" si="6"/>
        <v>-0.28346228239845273</v>
      </c>
      <c r="AE17" s="329">
        <f t="shared" si="7"/>
        <v>105968.66363636364</v>
      </c>
      <c r="AF17" s="35">
        <f t="shared" si="8"/>
        <v>105396.46808510639</v>
      </c>
      <c r="AG17" s="330">
        <f t="shared" si="9"/>
        <v>-572.19555125724582</v>
      </c>
      <c r="AH17" s="331">
        <v>55</v>
      </c>
      <c r="AI17" s="332">
        <v>4390381.0263467524</v>
      </c>
      <c r="AJ17" s="333">
        <f t="shared" si="20"/>
        <v>0.18832244087710803</v>
      </c>
      <c r="AK17" s="310">
        <f t="shared" si="26"/>
        <v>67.099999999999994</v>
      </c>
      <c r="AL17" s="311">
        <v>60</v>
      </c>
      <c r="AM17" s="312">
        <v>4962860</v>
      </c>
      <c r="AN17" s="313">
        <f t="shared" si="10"/>
        <v>0.20037249421333914</v>
      </c>
      <c r="AO17" s="313">
        <f t="shared" si="11"/>
        <v>0.13039391574849457</v>
      </c>
      <c r="AP17" s="314">
        <f t="shared" si="21"/>
        <v>0.89418777943368111</v>
      </c>
      <c r="AQ17" s="322">
        <v>650000</v>
      </c>
      <c r="AR17" s="322">
        <v>780000</v>
      </c>
      <c r="AS17" s="315">
        <f t="shared" si="12"/>
        <v>130000</v>
      </c>
      <c r="AT17" s="316">
        <f t="shared" si="13"/>
        <v>24902635.954545453</v>
      </c>
      <c r="AU17" s="317">
        <f t="shared" si="14"/>
        <v>-134465.95454545319</v>
      </c>
      <c r="AV17" s="318">
        <f t="shared" si="15"/>
        <v>0.12430958925673027</v>
      </c>
      <c r="AW17" s="319">
        <f t="shared" si="16"/>
        <v>0.12363835880509977</v>
      </c>
      <c r="AX17" s="318">
        <f t="shared" si="22"/>
        <v>-6.7123045163050565E-4</v>
      </c>
    </row>
    <row r="18" spans="1:50">
      <c r="A18" s="284" t="s">
        <v>25</v>
      </c>
      <c r="B18" s="422" t="s">
        <v>39</v>
      </c>
      <c r="C18" s="33" t="s">
        <v>156</v>
      </c>
      <c r="D18" s="479">
        <v>154340447</v>
      </c>
      <c r="E18" s="34">
        <v>296</v>
      </c>
      <c r="F18" s="35">
        <v>26471250</v>
      </c>
      <c r="G18" s="35">
        <v>450620</v>
      </c>
      <c r="H18" s="289">
        <f>D18*H$30</f>
        <v>154340447</v>
      </c>
      <c r="I18" s="472">
        <v>0</v>
      </c>
      <c r="J18" s="337">
        <v>200</v>
      </c>
      <c r="K18" s="35">
        <v>21252780</v>
      </c>
      <c r="L18" s="294">
        <v>0.75386821457780351</v>
      </c>
      <c r="M18" s="273">
        <f t="shared" si="23"/>
        <v>0.13770065082162164</v>
      </c>
      <c r="N18" s="293">
        <f t="shared" si="25"/>
        <v>-0.61616756375618187</v>
      </c>
      <c r="O18" s="293" t="e">
        <f t="shared" si="24"/>
        <v>#DIV/0!</v>
      </c>
      <c r="P18" s="294">
        <f t="shared" si="27"/>
        <v>-0.19713727156821081</v>
      </c>
      <c r="Q18" s="295">
        <f t="shared" si="1"/>
        <v>46.163419288979625</v>
      </c>
      <c r="R18" s="294">
        <v>0.3589</v>
      </c>
      <c r="S18" s="296">
        <f>R18*K18</f>
        <v>7627622.7419999996</v>
      </c>
      <c r="T18" s="323">
        <v>4893130</v>
      </c>
      <c r="U18" s="298">
        <f t="shared" si="28"/>
        <v>0.18484695660386269</v>
      </c>
      <c r="V18" s="35">
        <v>3501010</v>
      </c>
      <c r="W18" s="324">
        <f t="shared" si="29"/>
        <v>0.16473186096124837</v>
      </c>
      <c r="X18" s="278">
        <f t="shared" si="30"/>
        <v>0.4589909750940328</v>
      </c>
      <c r="Y18" s="295">
        <f t="shared" si="3"/>
        <v>-2.0115095642614322E-2</v>
      </c>
      <c r="Z18" s="325">
        <v>611</v>
      </c>
      <c r="AA18" s="326">
        <v>418</v>
      </c>
      <c r="AB18" s="327">
        <f t="shared" si="4"/>
        <v>2.064189189189189</v>
      </c>
      <c r="AC18" s="328">
        <f t="shared" si="5"/>
        <v>2.09</v>
      </c>
      <c r="AD18" s="304">
        <f t="shared" si="6"/>
        <v>2.5810810810810825E-2</v>
      </c>
      <c r="AE18" s="329">
        <f t="shared" si="7"/>
        <v>89429.898648648654</v>
      </c>
      <c r="AF18" s="35">
        <f t="shared" si="8"/>
        <v>106263.9</v>
      </c>
      <c r="AG18" s="330">
        <f t="shared" si="9"/>
        <v>16834.00135135134</v>
      </c>
      <c r="AH18" s="331">
        <v>67</v>
      </c>
      <c r="AI18" s="332">
        <v>5553800</v>
      </c>
      <c r="AJ18" s="333">
        <f t="shared" si="20"/>
        <v>0.20980497709779478</v>
      </c>
      <c r="AK18" s="310">
        <f t="shared" si="26"/>
        <v>81.739999999999995</v>
      </c>
      <c r="AL18" s="311">
        <v>65</v>
      </c>
      <c r="AM18" s="312">
        <v>5278490</v>
      </c>
      <c r="AN18" s="313">
        <f t="shared" si="10"/>
        <v>0.24836703715937397</v>
      </c>
      <c r="AO18" s="313">
        <f t="shared" si="11"/>
        <v>-4.9571464582808145E-2</v>
      </c>
      <c r="AP18" s="314">
        <f t="shared" si="21"/>
        <v>0.79520430633716666</v>
      </c>
      <c r="AQ18" s="35">
        <v>520000</v>
      </c>
      <c r="AR18" s="35">
        <v>440000</v>
      </c>
      <c r="AS18" s="315">
        <f t="shared" si="12"/>
        <v>-80000</v>
      </c>
      <c r="AT18" s="316">
        <f t="shared" si="13"/>
        <v>17885979.729729731</v>
      </c>
      <c r="AU18" s="317">
        <f t="shared" si="14"/>
        <v>3366800.2702702694</v>
      </c>
      <c r="AV18" s="318">
        <f t="shared" si="15"/>
        <v>0.11588653575513962</v>
      </c>
      <c r="AW18" s="319">
        <f t="shared" si="16"/>
        <v>0.13770065082162164</v>
      </c>
      <c r="AX18" s="318">
        <f t="shared" si="22"/>
        <v>2.1814115066482023E-2</v>
      </c>
    </row>
    <row r="19" spans="1:50">
      <c r="A19" s="284" t="s">
        <v>18</v>
      </c>
      <c r="B19" s="36">
        <v>983</v>
      </c>
      <c r="C19" s="33" t="s">
        <v>151</v>
      </c>
      <c r="D19" s="479">
        <v>399960461</v>
      </c>
      <c r="E19" s="34">
        <v>455</v>
      </c>
      <c r="F19" s="35">
        <v>38557898</v>
      </c>
      <c r="G19" s="35">
        <v>839075</v>
      </c>
      <c r="H19" s="289">
        <f>D19*H$27</f>
        <v>399960461</v>
      </c>
      <c r="I19" s="320">
        <v>45348676.310000002</v>
      </c>
      <c r="J19" s="321">
        <v>515</v>
      </c>
      <c r="K19" s="322">
        <v>55245900</v>
      </c>
      <c r="L19" s="294">
        <v>0.9373679089996374</v>
      </c>
      <c r="M19" s="273">
        <f>K19/H19</f>
        <v>0.13812840364737952</v>
      </c>
      <c r="N19" s="293">
        <f>M19-L19</f>
        <v>-0.79923950535225785</v>
      </c>
      <c r="O19" s="293">
        <f>K19/I19</f>
        <v>1.2182472454618818</v>
      </c>
      <c r="P19" s="294">
        <f t="shared" si="27"/>
        <v>0.43280372804554856</v>
      </c>
      <c r="Q19" s="295">
        <f t="shared" si="1"/>
        <v>64.841432529869195</v>
      </c>
      <c r="R19" s="294">
        <v>0.4335</v>
      </c>
      <c r="S19" s="296">
        <f>R19*K19</f>
        <v>23949097.649999999</v>
      </c>
      <c r="T19" s="323">
        <v>6890460</v>
      </c>
      <c r="U19" s="298">
        <f t="shared" si="28"/>
        <v>0.17870424368050353</v>
      </c>
      <c r="V19" s="35">
        <v>9434200</v>
      </c>
      <c r="W19" s="324">
        <f t="shared" si="29"/>
        <v>0.1707674234649087</v>
      </c>
      <c r="X19" s="278">
        <f t="shared" si="30"/>
        <v>0.39392715908860143</v>
      </c>
      <c r="Y19" s="295">
        <f t="shared" si="3"/>
        <v>-7.9368202155948309E-3</v>
      </c>
      <c r="Z19" s="325">
        <v>749</v>
      </c>
      <c r="AA19" s="326">
        <v>965</v>
      </c>
      <c r="AB19" s="327">
        <f t="shared" si="4"/>
        <v>1.6461538461538461</v>
      </c>
      <c r="AC19" s="328">
        <f t="shared" si="5"/>
        <v>1.8737864077669903</v>
      </c>
      <c r="AD19" s="304">
        <f t="shared" si="6"/>
        <v>0.22763256161314427</v>
      </c>
      <c r="AE19" s="329">
        <f t="shared" si="7"/>
        <v>84742.632967032972</v>
      </c>
      <c r="AF19" s="35">
        <f t="shared" si="8"/>
        <v>107273.59223300971</v>
      </c>
      <c r="AG19" s="330">
        <f t="shared" si="9"/>
        <v>22530.959265976737</v>
      </c>
      <c r="AH19" s="331">
        <v>123</v>
      </c>
      <c r="AI19" s="332">
        <v>10025160.9617</v>
      </c>
      <c r="AJ19" s="333">
        <f t="shared" si="20"/>
        <v>0.26000278754044115</v>
      </c>
      <c r="AK19" s="310">
        <f t="shared" si="26"/>
        <v>150.06</v>
      </c>
      <c r="AL19" s="311">
        <v>165</v>
      </c>
      <c r="AM19" s="312">
        <v>13319130</v>
      </c>
      <c r="AN19" s="313">
        <f t="shared" si="10"/>
        <v>0.24108811694623491</v>
      </c>
      <c r="AO19" s="313">
        <f t="shared" si="11"/>
        <v>0.32857018963428497</v>
      </c>
      <c r="AP19" s="314">
        <f t="shared" si="21"/>
        <v>1.0995601759296281</v>
      </c>
      <c r="AQ19" s="322">
        <v>940000</v>
      </c>
      <c r="AR19" s="322">
        <v>670000</v>
      </c>
      <c r="AS19" s="315">
        <f t="shared" si="12"/>
        <v>-270000</v>
      </c>
      <c r="AT19" s="316">
        <f t="shared" si="13"/>
        <v>43642455.978021979</v>
      </c>
      <c r="AU19" s="317">
        <f t="shared" si="14"/>
        <v>11603444.021978021</v>
      </c>
      <c r="AV19" s="318">
        <f t="shared" si="15"/>
        <v>0.10911692588038591</v>
      </c>
      <c r="AW19" s="319">
        <f t="shared" si="16"/>
        <v>0.13812840364737952</v>
      </c>
      <c r="AX19" s="318">
        <f t="shared" si="22"/>
        <v>2.9011477766993615E-2</v>
      </c>
    </row>
    <row r="20" spans="1:50">
      <c r="A20" s="284" t="s">
        <v>18</v>
      </c>
      <c r="B20" s="422">
        <v>984</v>
      </c>
      <c r="C20" s="33" t="s">
        <v>157</v>
      </c>
      <c r="D20" s="479">
        <v>330905963</v>
      </c>
      <c r="E20" s="34">
        <v>506</v>
      </c>
      <c r="F20" s="35">
        <v>43061048</v>
      </c>
      <c r="G20" s="35">
        <v>2885890</v>
      </c>
      <c r="H20" s="289">
        <f>D20*H$27</f>
        <v>330905963</v>
      </c>
      <c r="I20" s="320">
        <v>54119926.539999999</v>
      </c>
      <c r="J20" s="321">
        <v>417</v>
      </c>
      <c r="K20" s="322">
        <v>37373470</v>
      </c>
      <c r="L20" s="294">
        <v>0.87758892114829334</v>
      </c>
      <c r="M20" s="273">
        <f>K20/H20</f>
        <v>0.11294287253445474</v>
      </c>
      <c r="N20" s="293">
        <f t="shared" si="25"/>
        <v>-0.76464604861383856</v>
      </c>
      <c r="O20" s="293">
        <f t="shared" si="24"/>
        <v>0.69056764096635082</v>
      </c>
      <c r="P20" s="294">
        <f t="shared" si="27"/>
        <v>-0.13208173660798961</v>
      </c>
      <c r="Q20" s="295">
        <f t="shared" si="1"/>
        <v>11.950413910440107</v>
      </c>
      <c r="R20" s="294">
        <v>0.45329999999999998</v>
      </c>
      <c r="S20" s="296">
        <f t="shared" si="17"/>
        <v>16941393.950999998</v>
      </c>
      <c r="T20" s="323">
        <v>11443650</v>
      </c>
      <c r="U20" s="298">
        <f t="shared" si="28"/>
        <v>0.26575409869262817</v>
      </c>
      <c r="V20" s="35">
        <v>6879750</v>
      </c>
      <c r="W20" s="324">
        <f t="shared" si="29"/>
        <v>0.18408111422353879</v>
      </c>
      <c r="X20" s="278">
        <f t="shared" si="30"/>
        <v>0.40609114101817517</v>
      </c>
      <c r="Y20" s="295">
        <f t="shared" si="3"/>
        <v>-8.1672984469089382E-2</v>
      </c>
      <c r="Z20" s="325">
        <v>865</v>
      </c>
      <c r="AA20" s="326">
        <v>627</v>
      </c>
      <c r="AB20" s="327">
        <f t="shared" si="4"/>
        <v>1.709486166007905</v>
      </c>
      <c r="AC20" s="328">
        <f t="shared" si="5"/>
        <v>1.5035971223021583</v>
      </c>
      <c r="AD20" s="304">
        <f t="shared" si="6"/>
        <v>-0.20588904370574679</v>
      </c>
      <c r="AE20" s="329">
        <f t="shared" si="7"/>
        <v>85100.885375494065</v>
      </c>
      <c r="AF20" s="35">
        <f t="shared" si="8"/>
        <v>89624.628297362113</v>
      </c>
      <c r="AG20" s="330">
        <f t="shared" si="9"/>
        <v>4523.7429218680481</v>
      </c>
      <c r="AH20" s="331">
        <v>132</v>
      </c>
      <c r="AI20" s="332">
        <v>10445184</v>
      </c>
      <c r="AJ20" s="333">
        <f t="shared" si="20"/>
        <v>0.24256687853950976</v>
      </c>
      <c r="AK20" s="310">
        <f t="shared" si="26"/>
        <v>161.04</v>
      </c>
      <c r="AL20" s="311">
        <v>93</v>
      </c>
      <c r="AM20" s="312">
        <v>7554130.0199999996</v>
      </c>
      <c r="AN20" s="313">
        <f t="shared" si="10"/>
        <v>0.20212546547055971</v>
      </c>
      <c r="AO20" s="313">
        <f t="shared" si="11"/>
        <v>-0.27678344201499949</v>
      </c>
      <c r="AP20" s="314">
        <f t="shared" si="21"/>
        <v>0.57749627421758576</v>
      </c>
      <c r="AQ20" s="322">
        <v>200000</v>
      </c>
      <c r="AR20" s="322">
        <v>770000</v>
      </c>
      <c r="AS20" s="315">
        <f t="shared" si="12"/>
        <v>570000</v>
      </c>
      <c r="AT20" s="316">
        <f t="shared" si="13"/>
        <v>35487069.201581024</v>
      </c>
      <c r="AU20" s="317">
        <f t="shared" si="14"/>
        <v>1886400.7984189764</v>
      </c>
      <c r="AV20" s="318">
        <f t="shared" si="15"/>
        <v>0.10724215689513285</v>
      </c>
      <c r="AW20" s="319">
        <f t="shared" si="16"/>
        <v>0.11294287253445474</v>
      </c>
      <c r="AX20" s="318">
        <f t="shared" si="22"/>
        <v>5.7007156393218961E-3</v>
      </c>
    </row>
    <row r="21" spans="1:50">
      <c r="A21" s="284" t="s">
        <v>25</v>
      </c>
      <c r="B21" s="285" t="s">
        <v>43</v>
      </c>
      <c r="C21" s="286" t="s">
        <v>159</v>
      </c>
      <c r="D21" s="480">
        <v>249133282</v>
      </c>
      <c r="E21" s="34">
        <v>374</v>
      </c>
      <c r="F21" s="35">
        <v>42076063</v>
      </c>
      <c r="G21" s="35">
        <v>1022930</v>
      </c>
      <c r="H21" s="289">
        <f>D21*H$29</f>
        <v>249133282</v>
      </c>
      <c r="I21" s="472">
        <v>46521195.880000003</v>
      </c>
      <c r="J21" s="321">
        <v>407</v>
      </c>
      <c r="K21" s="322">
        <v>47974610</v>
      </c>
      <c r="L21" s="294">
        <v>1.0078883464179349</v>
      </c>
      <c r="M21" s="273">
        <f>K21/H21</f>
        <v>0.19256604181853149</v>
      </c>
      <c r="N21" s="293">
        <f>M21-L21</f>
        <v>-0.81532230459940336</v>
      </c>
      <c r="O21" s="293">
        <f>K21/I21</f>
        <v>1.0312419767485994</v>
      </c>
      <c r="P21" s="294">
        <f t="shared" si="27"/>
        <v>0.14018771195394408</v>
      </c>
      <c r="Q21" s="295">
        <f t="shared" si="1"/>
        <v>45.899211089712885</v>
      </c>
      <c r="R21" s="294">
        <v>0.47020000000000001</v>
      </c>
      <c r="S21" s="296">
        <f>R21*K21</f>
        <v>22557661.622000001</v>
      </c>
      <c r="T21" s="323">
        <v>7422450</v>
      </c>
      <c r="U21" s="298">
        <f t="shared" si="28"/>
        <v>0.17640552539338103</v>
      </c>
      <c r="V21" s="35">
        <v>14871580</v>
      </c>
      <c r="W21" s="324">
        <f t="shared" si="29"/>
        <v>0.3099885543624013</v>
      </c>
      <c r="X21" s="278">
        <f>V21/S21</f>
        <v>0.65926957541982401</v>
      </c>
      <c r="Y21" s="295">
        <f t="shared" si="3"/>
        <v>0.13358302896902027</v>
      </c>
      <c r="Z21" s="325">
        <v>832</v>
      </c>
      <c r="AA21" s="326">
        <v>763</v>
      </c>
      <c r="AB21" s="327">
        <f t="shared" si="4"/>
        <v>2.2245989304812834</v>
      </c>
      <c r="AC21" s="328">
        <f t="shared" si="5"/>
        <v>1.8746928746928746</v>
      </c>
      <c r="AD21" s="304">
        <f t="shared" si="6"/>
        <v>-0.34990605578840883</v>
      </c>
      <c r="AE21" s="329">
        <f t="shared" si="7"/>
        <v>112502.8422459893</v>
      </c>
      <c r="AF21" s="35">
        <f t="shared" si="8"/>
        <v>117873.73464373464</v>
      </c>
      <c r="AG21" s="330">
        <f t="shared" si="9"/>
        <v>5370.8923977453378</v>
      </c>
      <c r="AH21" s="331">
        <v>95</v>
      </c>
      <c r="AI21" s="332">
        <v>7707988.6053999998</v>
      </c>
      <c r="AJ21" s="333">
        <f t="shared" si="20"/>
        <v>0.18319177356018312</v>
      </c>
      <c r="AK21" s="310">
        <f t="shared" si="26"/>
        <v>115.9</v>
      </c>
      <c r="AL21" s="311">
        <v>108</v>
      </c>
      <c r="AM21" s="312">
        <v>8843850</v>
      </c>
      <c r="AN21" s="313">
        <f t="shared" si="10"/>
        <v>0.18434438549891285</v>
      </c>
      <c r="AO21" s="313">
        <f t="shared" si="11"/>
        <v>0.14736158195722382</v>
      </c>
      <c r="AP21" s="314">
        <f t="shared" si="21"/>
        <v>0.93183779119930965</v>
      </c>
      <c r="AQ21" s="322">
        <v>1380000</v>
      </c>
      <c r="AR21" s="322">
        <v>1240000</v>
      </c>
      <c r="AS21" s="315">
        <f t="shared" si="12"/>
        <v>-140000</v>
      </c>
      <c r="AT21" s="316">
        <f t="shared" si="13"/>
        <v>45788656.794117644</v>
      </c>
      <c r="AU21" s="317">
        <f t="shared" si="14"/>
        <v>2185953.2058823556</v>
      </c>
      <c r="AV21" s="318">
        <f t="shared" si="15"/>
        <v>0.18379180985588928</v>
      </c>
      <c r="AW21" s="319">
        <f t="shared" si="16"/>
        <v>0.19256604181853149</v>
      </c>
      <c r="AX21" s="318">
        <f t="shared" si="22"/>
        <v>8.7742319626422094E-3</v>
      </c>
    </row>
    <row r="22" spans="1:50">
      <c r="A22" s="284" t="s">
        <v>25</v>
      </c>
      <c r="B22" s="36" t="s">
        <v>45</v>
      </c>
      <c r="C22" s="33" t="s">
        <v>158</v>
      </c>
      <c r="D22" s="479">
        <v>278441695</v>
      </c>
      <c r="E22" s="34">
        <v>414</v>
      </c>
      <c r="F22" s="35">
        <v>43025500</v>
      </c>
      <c r="G22" s="35">
        <v>1072259</v>
      </c>
      <c r="H22" s="289">
        <f>D22*H$29</f>
        <v>278441695</v>
      </c>
      <c r="I22" s="472">
        <v>47207280.390000001</v>
      </c>
      <c r="J22" s="321">
        <v>361</v>
      </c>
      <c r="K22" s="322">
        <v>49500580</v>
      </c>
      <c r="L22" s="294">
        <v>0.93001111571516404</v>
      </c>
      <c r="M22" s="273">
        <f t="shared" si="23"/>
        <v>0.17777718240078952</v>
      </c>
      <c r="N22" s="293">
        <f>M22-L22</f>
        <v>-0.75223393331437449</v>
      </c>
      <c r="O22" s="293">
        <f t="shared" si="24"/>
        <v>1.048579362993463</v>
      </c>
      <c r="P22" s="294">
        <f t="shared" si="27"/>
        <v>0.15049400936653834</v>
      </c>
      <c r="Q22" s="295">
        <f t="shared" si="1"/>
        <v>45.164760566243793</v>
      </c>
      <c r="R22" s="294">
        <v>0.36170000000000002</v>
      </c>
      <c r="S22" s="296">
        <f t="shared" si="17"/>
        <v>17904359.786000002</v>
      </c>
      <c r="T22" s="323">
        <v>7850440</v>
      </c>
      <c r="U22" s="298">
        <f t="shared" si="28"/>
        <v>0.18246016896956457</v>
      </c>
      <c r="V22" s="35">
        <v>10731520</v>
      </c>
      <c r="W22" s="324">
        <f>V22/K22</f>
        <v>0.21679584360425677</v>
      </c>
      <c r="X22" s="278">
        <f>V22/S22</f>
        <v>0.59938026984865012</v>
      </c>
      <c r="Y22" s="295">
        <f t="shared" si="3"/>
        <v>3.4335674634692198E-2</v>
      </c>
      <c r="Z22" s="325">
        <v>829</v>
      </c>
      <c r="AA22" s="326">
        <v>819</v>
      </c>
      <c r="AB22" s="327">
        <f t="shared" si="4"/>
        <v>2.0024154589371981</v>
      </c>
      <c r="AC22" s="328">
        <f t="shared" si="5"/>
        <v>2.2686980609418281</v>
      </c>
      <c r="AD22" s="304">
        <f t="shared" si="6"/>
        <v>0.26628260200463005</v>
      </c>
      <c r="AE22" s="329">
        <f t="shared" si="7"/>
        <v>103926.32850241546</v>
      </c>
      <c r="AF22" s="35">
        <f t="shared" si="8"/>
        <v>137120.72022160664</v>
      </c>
      <c r="AG22" s="330">
        <f t="shared" si="9"/>
        <v>33194.391719191175</v>
      </c>
      <c r="AH22" s="331">
        <v>99</v>
      </c>
      <c r="AI22" s="332">
        <v>7960900</v>
      </c>
      <c r="AJ22" s="333">
        <f t="shared" si="20"/>
        <v>0.18502748370152583</v>
      </c>
      <c r="AK22" s="310">
        <f t="shared" si="26"/>
        <v>120.78</v>
      </c>
      <c r="AL22" s="311">
        <v>137</v>
      </c>
      <c r="AM22" s="312">
        <v>11206580</v>
      </c>
      <c r="AN22" s="313">
        <f t="shared" si="10"/>
        <v>0.22639290287103706</v>
      </c>
      <c r="AO22" s="313">
        <f t="shared" si="11"/>
        <v>0.40770264668567635</v>
      </c>
      <c r="AP22" s="314">
        <f t="shared" si="21"/>
        <v>1.1342937572445768</v>
      </c>
      <c r="AQ22" s="322">
        <v>740000</v>
      </c>
      <c r="AR22" s="322">
        <v>590000</v>
      </c>
      <c r="AS22" s="315">
        <f t="shared" si="12"/>
        <v>-150000</v>
      </c>
      <c r="AT22" s="316">
        <f t="shared" si="13"/>
        <v>37517404.589371979</v>
      </c>
      <c r="AU22" s="317">
        <f t="shared" si="14"/>
        <v>11983175.410628021</v>
      </c>
      <c r="AV22" s="318">
        <f t="shared" si="15"/>
        <v>0.13474061271381063</v>
      </c>
      <c r="AW22" s="319">
        <f t="shared" si="16"/>
        <v>0.17777718240078952</v>
      </c>
      <c r="AX22" s="318">
        <f t="shared" si="22"/>
        <v>4.3036569686978887E-2</v>
      </c>
    </row>
    <row r="23" spans="1:50">
      <c r="A23" s="284" t="s">
        <v>25</v>
      </c>
      <c r="B23" s="422" t="s">
        <v>47</v>
      </c>
      <c r="C23" s="33" t="s">
        <v>160</v>
      </c>
      <c r="D23" s="479">
        <v>205303138</v>
      </c>
      <c r="E23" s="34">
        <v>322</v>
      </c>
      <c r="F23" s="35">
        <v>26557275</v>
      </c>
      <c r="G23" s="35">
        <v>1154410</v>
      </c>
      <c r="H23" s="289">
        <f>D23*H$30</f>
        <v>205303138</v>
      </c>
      <c r="I23" s="320">
        <v>33812735.68</v>
      </c>
      <c r="J23" s="321">
        <v>388</v>
      </c>
      <c r="K23" s="322">
        <v>37100090</v>
      </c>
      <c r="L23" s="294">
        <v>0.94500158219129105</v>
      </c>
      <c r="M23" s="273">
        <f>K23/H23</f>
        <v>0.18070883066580307</v>
      </c>
      <c r="N23" s="293">
        <f>M23-L23</f>
        <v>-0.76429275152548803</v>
      </c>
      <c r="O23" s="293">
        <f>K23/I23</f>
        <v>1.09722237062127</v>
      </c>
      <c r="P23" s="294">
        <f t="shared" si="27"/>
        <v>0.39698406557148647</v>
      </c>
      <c r="Q23" s="295">
        <f t="shared" si="1"/>
        <v>31.137706707322359</v>
      </c>
      <c r="R23" s="294">
        <v>0.46239999999999998</v>
      </c>
      <c r="S23" s="296">
        <f t="shared" si="17"/>
        <v>17155081.616</v>
      </c>
      <c r="T23" s="323">
        <v>7149280</v>
      </c>
      <c r="U23" s="298">
        <f>T23/F23</f>
        <v>0.26920231838545183</v>
      </c>
      <c r="V23" s="35">
        <v>7932410</v>
      </c>
      <c r="W23" s="324">
        <f t="shared" si="29"/>
        <v>0.21381107161734647</v>
      </c>
      <c r="X23" s="278">
        <f t="shared" si="30"/>
        <v>0.46239418602367316</v>
      </c>
      <c r="Y23" s="295">
        <f t="shared" si="3"/>
        <v>-5.5391246768105362E-2</v>
      </c>
      <c r="Z23" s="325">
        <v>529</v>
      </c>
      <c r="AA23" s="326">
        <v>626</v>
      </c>
      <c r="AB23" s="327">
        <f t="shared" si="4"/>
        <v>1.6428571428571428</v>
      </c>
      <c r="AC23" s="328">
        <f t="shared" si="5"/>
        <v>1.6134020618556701</v>
      </c>
      <c r="AD23" s="304">
        <f t="shared" si="6"/>
        <v>-2.9455081001472649E-2</v>
      </c>
      <c r="AE23" s="329">
        <f t="shared" si="7"/>
        <v>82476.009316770185</v>
      </c>
      <c r="AF23" s="35">
        <f t="shared" si="8"/>
        <v>95618.78865979382</v>
      </c>
      <c r="AG23" s="330">
        <f t="shared" si="9"/>
        <v>13142.779343023634</v>
      </c>
      <c r="AH23" s="331">
        <v>68</v>
      </c>
      <c r="AI23" s="332">
        <v>5563600</v>
      </c>
      <c r="AJ23" s="333">
        <f t="shared" si="20"/>
        <v>0.20949438524848651</v>
      </c>
      <c r="AK23" s="310">
        <f t="shared" si="26"/>
        <v>82.960000000000008</v>
      </c>
      <c r="AL23" s="311">
        <v>93</v>
      </c>
      <c r="AM23" s="312">
        <v>7623990</v>
      </c>
      <c r="AN23" s="313">
        <f t="shared" si="10"/>
        <v>0.20549788423693852</v>
      </c>
      <c r="AO23" s="313">
        <f t="shared" si="11"/>
        <v>0.37033395643108769</v>
      </c>
      <c r="AP23" s="314">
        <f t="shared" si="21"/>
        <v>1.1210221793635486</v>
      </c>
      <c r="AQ23" s="322">
        <v>950000</v>
      </c>
      <c r="AR23" s="322">
        <v>1450000</v>
      </c>
      <c r="AS23" s="315">
        <f t="shared" si="12"/>
        <v>500000</v>
      </c>
      <c r="AT23" s="316">
        <f t="shared" si="13"/>
        <v>32000691.614906833</v>
      </c>
      <c r="AU23" s="317">
        <f t="shared" si="14"/>
        <v>5099398.3850931674</v>
      </c>
      <c r="AV23" s="318">
        <f t="shared" si="15"/>
        <v>0.15587044565732275</v>
      </c>
      <c r="AW23" s="319">
        <f t="shared" si="16"/>
        <v>0.18070883066580307</v>
      </c>
      <c r="AX23" s="318">
        <f t="shared" si="22"/>
        <v>2.4838385008480318E-2</v>
      </c>
    </row>
    <row r="24" spans="1:50">
      <c r="A24" s="284" t="s">
        <v>25</v>
      </c>
      <c r="B24" s="36" t="s">
        <v>49</v>
      </c>
      <c r="C24" s="33" t="s">
        <v>161</v>
      </c>
      <c r="D24" s="479">
        <v>181121554</v>
      </c>
      <c r="E24" s="34">
        <v>253</v>
      </c>
      <c r="F24" s="35">
        <v>22158594</v>
      </c>
      <c r="G24" s="35">
        <v>420540</v>
      </c>
      <c r="H24" s="289">
        <f>D24*H$30</f>
        <v>181121554</v>
      </c>
      <c r="I24" s="320">
        <v>26913529.760000002</v>
      </c>
      <c r="J24" s="321">
        <v>209</v>
      </c>
      <c r="K24" s="322">
        <v>25082190</v>
      </c>
      <c r="L24" s="294">
        <v>0.63529824047918138</v>
      </c>
      <c r="M24" s="273">
        <f>K24/H24</f>
        <v>0.13848263470619296</v>
      </c>
      <c r="N24" s="293">
        <f>M24-L24</f>
        <v>-0.49681560577298844</v>
      </c>
      <c r="O24" s="293">
        <f>K24/I24</f>
        <v>0.93195467943703858</v>
      </c>
      <c r="P24" s="294">
        <f>K24/F24-1</f>
        <v>0.13193959869475469</v>
      </c>
      <c r="Q24" s="295">
        <f t="shared" si="1"/>
        <v>58.642816378941362</v>
      </c>
      <c r="R24" s="294">
        <v>0.53069999999999995</v>
      </c>
      <c r="S24" s="296">
        <f t="shared" si="17"/>
        <v>13311118.232999999</v>
      </c>
      <c r="T24" s="323">
        <v>6340260</v>
      </c>
      <c r="U24" s="298">
        <f t="shared" si="28"/>
        <v>0.28613097022311074</v>
      </c>
      <c r="V24" s="35">
        <v>6691700</v>
      </c>
      <c r="W24" s="324">
        <f t="shared" si="29"/>
        <v>0.2667908982429365</v>
      </c>
      <c r="X24" s="278">
        <f t="shared" si="30"/>
        <v>0.50271508996219438</v>
      </c>
      <c r="Y24" s="295">
        <f t="shared" si="3"/>
        <v>-1.9340071980174234E-2</v>
      </c>
      <c r="Z24" s="325">
        <v>486</v>
      </c>
      <c r="AA24" s="326">
        <v>389</v>
      </c>
      <c r="AB24" s="327">
        <f t="shared" si="4"/>
        <v>1.9209486166007905</v>
      </c>
      <c r="AC24" s="328">
        <f t="shared" si="5"/>
        <v>1.861244019138756</v>
      </c>
      <c r="AD24" s="304">
        <f t="shared" si="6"/>
        <v>-5.9704597462034492E-2</v>
      </c>
      <c r="AE24" s="329">
        <f t="shared" si="7"/>
        <v>87583.375494071151</v>
      </c>
      <c r="AF24" s="35">
        <f t="shared" si="8"/>
        <v>120010.47846889953</v>
      </c>
      <c r="AG24" s="330">
        <f t="shared" si="9"/>
        <v>32427.102974828376</v>
      </c>
      <c r="AH24" s="331">
        <v>44</v>
      </c>
      <c r="AI24" s="332">
        <v>3695800</v>
      </c>
      <c r="AJ24" s="333">
        <f t="shared" si="20"/>
        <v>0.16678856068214437</v>
      </c>
      <c r="AK24" s="310">
        <f t="shared" si="26"/>
        <v>53.68</v>
      </c>
      <c r="AL24" s="311">
        <v>66</v>
      </c>
      <c r="AM24" s="312">
        <v>5493390</v>
      </c>
      <c r="AN24" s="313">
        <f t="shared" si="10"/>
        <v>0.2190155644303787</v>
      </c>
      <c r="AO24" s="313">
        <f t="shared" si="11"/>
        <v>0.48638725039233721</v>
      </c>
      <c r="AP24" s="314">
        <f t="shared" si="21"/>
        <v>1.2295081967213115</v>
      </c>
      <c r="AQ24" s="322">
        <v>440000</v>
      </c>
      <c r="AR24" s="322">
        <v>440000</v>
      </c>
      <c r="AS24" s="315">
        <f t="shared" si="12"/>
        <v>0</v>
      </c>
      <c r="AT24" s="316">
        <f t="shared" si="13"/>
        <v>18304925.478260871</v>
      </c>
      <c r="AU24" s="317">
        <f t="shared" si="14"/>
        <v>6777264.521739129</v>
      </c>
      <c r="AV24" s="318">
        <f t="shared" si="15"/>
        <v>0.10106431329680879</v>
      </c>
      <c r="AW24" s="319">
        <f t="shared" si="16"/>
        <v>0.13848263470619296</v>
      </c>
      <c r="AX24" s="318">
        <f t="shared" si="22"/>
        <v>3.741832140938417E-2</v>
      </c>
    </row>
    <row r="25" spans="1:50" ht="15" thickBot="1">
      <c r="A25" s="284" t="s">
        <v>25</v>
      </c>
      <c r="B25" s="36" t="s">
        <v>51</v>
      </c>
      <c r="C25" s="338" t="s">
        <v>162</v>
      </c>
      <c r="D25" s="481">
        <v>205973606</v>
      </c>
      <c r="E25" s="339">
        <v>239</v>
      </c>
      <c r="F25" s="340">
        <v>26351910</v>
      </c>
      <c r="G25" s="340">
        <v>679440</v>
      </c>
      <c r="H25" s="289">
        <f>D25*H$30</f>
        <v>205973606</v>
      </c>
      <c r="I25" s="341">
        <v>29460825.41</v>
      </c>
      <c r="J25" s="342">
        <v>254</v>
      </c>
      <c r="K25" s="343">
        <v>27755740</v>
      </c>
      <c r="L25" s="345">
        <v>0.81514811603936876</v>
      </c>
      <c r="M25" s="274">
        <f t="shared" si="23"/>
        <v>0.13475386744455015</v>
      </c>
      <c r="N25" s="293">
        <f t="shared" si="25"/>
        <v>-0.68039424859481867</v>
      </c>
      <c r="O25" s="344">
        <f>K25/I25</f>
        <v>0.94212363753320927</v>
      </c>
      <c r="P25" s="345">
        <f t="shared" si="27"/>
        <v>5.3272419342658583E-2</v>
      </c>
      <c r="Q25" s="346">
        <f t="shared" si="1"/>
        <v>39.850906628988582</v>
      </c>
      <c r="R25" s="345">
        <v>0.48659999999999998</v>
      </c>
      <c r="S25" s="347">
        <f t="shared" si="17"/>
        <v>13505943.083999999</v>
      </c>
      <c r="T25" s="348">
        <v>8013120</v>
      </c>
      <c r="U25" s="349">
        <f t="shared" si="28"/>
        <v>0.30408118424812469</v>
      </c>
      <c r="V25" s="340">
        <v>8703540</v>
      </c>
      <c r="W25" s="350">
        <f t="shared" si="29"/>
        <v>0.31357621882897013</v>
      </c>
      <c r="X25" s="351">
        <f t="shared" si="30"/>
        <v>0.64442297334354748</v>
      </c>
      <c r="Y25" s="346">
        <f t="shared" si="3"/>
        <v>9.4950345808454406E-3</v>
      </c>
      <c r="Z25" s="352">
        <v>528</v>
      </c>
      <c r="AA25" s="353">
        <v>432</v>
      </c>
      <c r="AB25" s="354">
        <f t="shared" si="4"/>
        <v>2.2092050209205021</v>
      </c>
      <c r="AC25" s="355">
        <f t="shared" si="5"/>
        <v>1.7007874015748032</v>
      </c>
      <c r="AD25" s="356">
        <f t="shared" si="6"/>
        <v>-0.50841761934569885</v>
      </c>
      <c r="AE25" s="357">
        <f t="shared" si="7"/>
        <v>110259.03765690376</v>
      </c>
      <c r="AF25" s="340">
        <f t="shared" si="8"/>
        <v>109274.56692913386</v>
      </c>
      <c r="AG25" s="358">
        <f t="shared" si="9"/>
        <v>-984.47072776990535</v>
      </c>
      <c r="AH25" s="359">
        <v>76</v>
      </c>
      <c r="AI25" s="360">
        <v>6113100</v>
      </c>
      <c r="AJ25" s="361">
        <f t="shared" si="20"/>
        <v>0.23197938972924542</v>
      </c>
      <c r="AK25" s="310">
        <f t="shared" si="26"/>
        <v>92.72</v>
      </c>
      <c r="AL25" s="362">
        <v>69</v>
      </c>
      <c r="AM25" s="363">
        <v>5595300</v>
      </c>
      <c r="AN25" s="364">
        <f t="shared" si="10"/>
        <v>0.20159073402474587</v>
      </c>
      <c r="AO25" s="364">
        <f t="shared" si="11"/>
        <v>-8.4703342003238924E-2</v>
      </c>
      <c r="AP25" s="365">
        <f t="shared" si="21"/>
        <v>0.74417601380500431</v>
      </c>
      <c r="AQ25" s="343">
        <v>450000</v>
      </c>
      <c r="AR25" s="343">
        <v>1390500</v>
      </c>
      <c r="AS25" s="366">
        <f t="shared" si="12"/>
        <v>940500</v>
      </c>
      <c r="AT25" s="316">
        <f t="shared" si="13"/>
        <v>28005795.564853556</v>
      </c>
      <c r="AU25" s="317">
        <f t="shared" si="14"/>
        <v>-250055.56485355645</v>
      </c>
      <c r="AV25" s="318">
        <f t="shared" si="15"/>
        <v>0.13596788495732581</v>
      </c>
      <c r="AW25" s="319">
        <f t="shared" si="16"/>
        <v>0.13475386744455015</v>
      </c>
      <c r="AX25" s="318">
        <f t="shared" si="22"/>
        <v>-1.2140175127756669E-3</v>
      </c>
    </row>
    <row r="26" spans="1:50" ht="15" thickBot="1">
      <c r="A26" s="367"/>
      <c r="B26" s="368" t="s">
        <v>53</v>
      </c>
      <c r="C26" s="369" t="s">
        <v>54</v>
      </c>
      <c r="D26" s="370">
        <f t="shared" ref="D26:K26" si="31">SUM(D4:D25)</f>
        <v>6547874456</v>
      </c>
      <c r="E26" s="371">
        <f t="shared" si="31"/>
        <v>9335</v>
      </c>
      <c r="F26" s="372">
        <f t="shared" si="31"/>
        <v>900347453</v>
      </c>
      <c r="G26" s="372">
        <f t="shared" si="31"/>
        <v>30265674</v>
      </c>
      <c r="H26" s="372">
        <f t="shared" si="31"/>
        <v>6547874456</v>
      </c>
      <c r="I26" s="373">
        <f t="shared" si="31"/>
        <v>1049676837.7699997</v>
      </c>
      <c r="J26" s="371">
        <f t="shared" si="31"/>
        <v>8688</v>
      </c>
      <c r="K26" s="372">
        <f t="shared" si="31"/>
        <v>903349328</v>
      </c>
      <c r="L26" s="374">
        <v>0.83500805957285729</v>
      </c>
      <c r="M26" s="275">
        <f>K26/H26</f>
        <v>0.13796069763864147</v>
      </c>
      <c r="N26" s="375">
        <f>M26-L26</f>
        <v>-0.69704736193421579</v>
      </c>
      <c r="O26" s="375">
        <f>K26/I26</f>
        <v>0.86059756250231523</v>
      </c>
      <c r="P26" s="376">
        <f t="shared" si="27"/>
        <v>3.3341294963378232E-3</v>
      </c>
      <c r="Q26" s="377">
        <f>K26/G26-1</f>
        <v>28.847322349404809</v>
      </c>
      <c r="R26" s="376">
        <f>AVERAGE(R4:R25)</f>
        <v>0.40072727272727265</v>
      </c>
      <c r="S26" s="378">
        <f>SUM(S4:S25)</f>
        <v>356952736.79139996</v>
      </c>
      <c r="T26" s="379">
        <f>SUM(T4:T25)</f>
        <v>166643609</v>
      </c>
      <c r="U26" s="380">
        <f>T26/F26</f>
        <v>0.18508811064521333</v>
      </c>
      <c r="V26" s="372">
        <f>SUM(V4:V25)</f>
        <v>172412716</v>
      </c>
      <c r="W26" s="374">
        <f>V26/K26</f>
        <v>0.19085940583109617</v>
      </c>
      <c r="X26" s="275">
        <f t="shared" si="30"/>
        <v>0.48301273034014158</v>
      </c>
      <c r="Y26" s="377">
        <f>W26-U26</f>
        <v>5.7712951858828465E-3</v>
      </c>
      <c r="Z26" s="381">
        <f>SUM(Z4:Z25)</f>
        <v>17589</v>
      </c>
      <c r="AA26" s="381">
        <f>SUM(AA4:AA25)</f>
        <v>15001</v>
      </c>
      <c r="AB26" s="382">
        <f t="shared" si="4"/>
        <v>1.8841992501339047</v>
      </c>
      <c r="AC26" s="383">
        <f t="shared" si="5"/>
        <v>1.7266344383057091</v>
      </c>
      <c r="AD26" s="384">
        <f t="shared" si="6"/>
        <v>-0.15756481182819559</v>
      </c>
      <c r="AE26" s="385">
        <f t="shared" si="7"/>
        <v>96448.575575790033</v>
      </c>
      <c r="AF26" s="372">
        <f t="shared" si="8"/>
        <v>103976.67219152855</v>
      </c>
      <c r="AG26" s="386">
        <f>AF26-AE26</f>
        <v>7528.0966157385119</v>
      </c>
      <c r="AH26" s="371">
        <f>SUM(AH4:AH25)</f>
        <v>2360</v>
      </c>
      <c r="AI26" s="387">
        <f>SUM(AI4:AI25)</f>
        <v>188753311.11585876</v>
      </c>
      <c r="AJ26" s="388">
        <f t="shared" si="20"/>
        <v>0.2096449659372322</v>
      </c>
      <c r="AK26" s="389">
        <f t="shared" si="26"/>
        <v>2879.2</v>
      </c>
      <c r="AL26" s="389">
        <f>SUM(AL4:AL25)</f>
        <v>2518</v>
      </c>
      <c r="AM26" s="390">
        <f>SUM(AM4:AM25)</f>
        <v>206863749.94840002</v>
      </c>
      <c r="AN26" s="391">
        <f t="shared" si="10"/>
        <v>0.2289964065245865</v>
      </c>
      <c r="AO26" s="392">
        <f>AM26/AI26-1</f>
        <v>9.5947661662077355E-2</v>
      </c>
      <c r="AP26" s="393">
        <f>AL26/AK26</f>
        <v>0.87454848569046961</v>
      </c>
      <c r="AQ26" s="394">
        <f>SUM(AQ4:AQ25)</f>
        <v>26945000</v>
      </c>
      <c r="AR26" s="394">
        <f>SUM(AR4:AR25)</f>
        <v>21160500</v>
      </c>
      <c r="AS26" s="379">
        <f>SUM(AS4:AS25)</f>
        <v>-5784500</v>
      </c>
      <c r="AT26" s="395">
        <f t="shared" ref="AT26" si="32">J26*AE26</f>
        <v>837945224.60246384</v>
      </c>
      <c r="AU26" s="396">
        <f t="shared" ref="AU26" si="33">K26-AT26</f>
        <v>65404103.397536159</v>
      </c>
      <c r="AV26" s="397">
        <f t="shared" si="15"/>
        <v>0.12797209693515599</v>
      </c>
      <c r="AW26" s="398">
        <f t="shared" si="16"/>
        <v>0.13796069763864147</v>
      </c>
      <c r="AX26" s="399">
        <f t="shared" si="22"/>
        <v>9.9886007034854785E-3</v>
      </c>
    </row>
    <row r="27" spans="1:50" ht="15" thickBot="1">
      <c r="G27" s="400" t="s">
        <v>129</v>
      </c>
      <c r="H27" s="407">
        <v>1</v>
      </c>
      <c r="I27" s="319">
        <f>H27/H26</f>
        <v>1.5272131540085837E-10</v>
      </c>
      <c r="K27" s="431">
        <f>K26/AA26</f>
        <v>60219.273915072328</v>
      </c>
      <c r="AP27" s="411"/>
      <c r="AV27" s="400">
        <f t="shared" si="15"/>
        <v>0</v>
      </c>
      <c r="AW27" s="319">
        <f t="shared" si="16"/>
        <v>0</v>
      </c>
      <c r="AX27" s="319">
        <f>AW27-AV27</f>
        <v>0</v>
      </c>
    </row>
    <row r="28" spans="1:50" ht="15" thickBot="1">
      <c r="G28" s="400" t="s">
        <v>131</v>
      </c>
      <c r="H28" s="407">
        <v>1</v>
      </c>
      <c r="S28" s="411">
        <v>0.3</v>
      </c>
      <c r="T28" s="411"/>
      <c r="U28" s="412"/>
      <c r="V28" s="412"/>
      <c r="W28" s="411"/>
      <c r="AF28" s="411"/>
      <c r="AG28" s="411"/>
      <c r="AP28" s="281"/>
      <c r="AV28" s="400">
        <f t="shared" si="15"/>
        <v>0</v>
      </c>
      <c r="AW28" s="319">
        <f t="shared" si="16"/>
        <v>0</v>
      </c>
      <c r="AX28" s="319">
        <f t="shared" si="22"/>
        <v>0</v>
      </c>
    </row>
    <row r="29" spans="1:50" ht="15" thickBot="1">
      <c r="G29" s="400" t="s">
        <v>130</v>
      </c>
      <c r="H29" s="407">
        <v>1</v>
      </c>
      <c r="S29" s="411">
        <v>0.9</v>
      </c>
      <c r="T29" s="411"/>
      <c r="U29" s="412"/>
      <c r="AV29" s="400">
        <f t="shared" si="15"/>
        <v>0</v>
      </c>
      <c r="AW29" s="319">
        <f t="shared" si="16"/>
        <v>0</v>
      </c>
      <c r="AX29" s="319">
        <f t="shared" si="22"/>
        <v>0</v>
      </c>
    </row>
    <row r="30" spans="1:50" ht="15" thickBot="1">
      <c r="G30" s="400" t="s">
        <v>132</v>
      </c>
      <c r="H30" s="407">
        <v>1</v>
      </c>
      <c r="S30" s="411"/>
      <c r="T30" s="411"/>
      <c r="U30" s="412"/>
      <c r="AV30" s="400">
        <f t="shared" si="15"/>
        <v>0</v>
      </c>
      <c r="AW30" s="319"/>
      <c r="AX30" s="319"/>
    </row>
    <row r="31" spans="1:50" ht="15" thickBot="1">
      <c r="S31" s="411"/>
      <c r="T31" s="411"/>
      <c r="U31" s="412"/>
      <c r="AW31" s="319"/>
      <c r="AX31" s="319"/>
    </row>
    <row r="32" spans="1:50" ht="43.5">
      <c r="E32" s="423" t="s">
        <v>118</v>
      </c>
      <c r="F32" s="424" t="str">
        <f t="shared" ref="F32:AX32" si="34">F3</f>
        <v>VENTA 2025 DIA CALENDARIO</v>
      </c>
      <c r="G32" s="425" t="str">
        <f t="shared" si="34"/>
        <v>VENTA  COMPARATIVO ENERO</v>
      </c>
      <c r="H32" s="426" t="str">
        <f t="shared" si="34"/>
        <v>META DEL 02 AL 21 ENERO 2025</v>
      </c>
      <c r="I32" s="426" t="str">
        <f t="shared" si="34"/>
        <v>META PERMODA 02 AL 21 ENERO</v>
      </c>
      <c r="J32" s="427" t="str">
        <f t="shared" si="34"/>
        <v>TICKETS ENERO 2026</v>
      </c>
      <c r="K32" s="426" t="str">
        <f t="shared" si="34"/>
        <v>VENTA ENERO 2026</v>
      </c>
      <c r="L32" s="428" t="str">
        <f t="shared" si="34"/>
        <v>% CUMPLIMIENTO DIA ANTERIOR</v>
      </c>
      <c r="M32" s="426" t="str">
        <f t="shared" si="34"/>
        <v>% CUMPLIMIENTO VS META 2026</v>
      </c>
      <c r="N32" s="429" t="str">
        <f t="shared" si="34"/>
        <v>BAJO O SUBIO VS DIA ANTERIOR</v>
      </c>
      <c r="O32" s="426" t="str">
        <f t="shared" si="34"/>
        <v>% CUMPLIMIENTO VS META PERMODA</v>
      </c>
      <c r="P32" s="429" t="str">
        <f t="shared" si="34"/>
        <v>CRECIMIENTO VS 2025 CALENDARIO</v>
      </c>
      <c r="Q32" s="426" t="str">
        <f t="shared" si="34"/>
        <v>CRECIMIENTO VS COMPARATIVO</v>
      </c>
      <c r="R32" s="429" t="str">
        <f t="shared" si="34"/>
        <v>META DE CREDITOS</v>
      </c>
      <c r="S32" s="426" t="str">
        <f t="shared" si="34"/>
        <v>META CREDITO HOY</v>
      </c>
      <c r="T32" s="429" t="str">
        <f t="shared" si="34"/>
        <v>VENTA CREDITO ENERO 2025</v>
      </c>
      <c r="U32" s="426" t="str">
        <f t="shared" si="34"/>
        <v>PARTICIPACION CREDITO 2025</v>
      </c>
      <c r="V32" s="429" t="str">
        <f t="shared" si="34"/>
        <v>VENTA CREDITOS ENERO 2026</v>
      </c>
      <c r="W32" s="426" t="str">
        <f t="shared" si="34"/>
        <v>PARTICIPACION CREDITOS ENERO 2026</v>
      </c>
      <c r="X32" s="429" t="str">
        <f t="shared" si="34"/>
        <v>% CUMPLIMIENTO META CREDITOS</v>
      </c>
      <c r="Y32" s="428" t="str">
        <f t="shared" si="34"/>
        <v>CRECIMIENTO CRÉDITOS VS 2025</v>
      </c>
      <c r="Z32" s="427" t="str">
        <f t="shared" si="34"/>
        <v>UNIDADES ENERO 2025</v>
      </c>
      <c r="AA32" s="427" t="str">
        <f t="shared" si="34"/>
        <v>UNIDADES ENERO 2026</v>
      </c>
      <c r="AB32" s="429" t="str">
        <f t="shared" si="34"/>
        <v>UXF 2025</v>
      </c>
      <c r="AC32" s="426" t="str">
        <f t="shared" si="34"/>
        <v>UXF 2026</v>
      </c>
      <c r="AD32" s="429" t="str">
        <f t="shared" si="34"/>
        <v>CRECIMIENTO UXF VS 2025</v>
      </c>
      <c r="AE32" s="426" t="str">
        <f t="shared" si="34"/>
        <v>TIQUET PROMEDIO 2025</v>
      </c>
      <c r="AF32" s="429" t="str">
        <f t="shared" si="34"/>
        <v>TIQUET PROMEDIO 2026</v>
      </c>
      <c r="AG32" s="426" t="str">
        <f t="shared" si="34"/>
        <v>CRECIMIENTO EN EL TIQUET VS 2025</v>
      </c>
      <c r="AH32" s="427" t="str">
        <f t="shared" si="34"/>
        <v>UNIDADES DE JEANS ENERO 2025</v>
      </c>
      <c r="AI32" s="426" t="str">
        <f t="shared" si="34"/>
        <v>VENTA JEANS ENERO 2025</v>
      </c>
      <c r="AJ32" s="429" t="str">
        <f t="shared" si="34"/>
        <v>PARTICIPACION EN JEANS 2025</v>
      </c>
      <c r="AK32" s="430" t="str">
        <f t="shared" si="34"/>
        <v>META UNIDADES 2026</v>
      </c>
      <c r="AL32" s="427" t="str">
        <f t="shared" si="34"/>
        <v>UNIDADES DE JEANS ENERO 2026</v>
      </c>
      <c r="AM32" s="426" t="str">
        <f t="shared" si="34"/>
        <v>VENTA JEANS ENERO 2026</v>
      </c>
      <c r="AN32" s="429" t="str">
        <f t="shared" si="34"/>
        <v>PARTICIPACION EN JEANS 2026</v>
      </c>
      <c r="AO32" s="426" t="str">
        <f t="shared" si="34"/>
        <v>CRECIMIENTO EN JEANS VS 2026</v>
      </c>
      <c r="AP32" s="429" t="str">
        <f t="shared" si="34"/>
        <v>CUMPLIMIENTO JEANS</v>
      </c>
      <c r="AQ32" s="426" t="str">
        <f t="shared" si="34"/>
        <v>VENTA BONOS 2025</v>
      </c>
      <c r="AR32" s="429" t="str">
        <f t="shared" si="34"/>
        <v>VENTA BONOS 2026</v>
      </c>
      <c r="AS32" s="426" t="str">
        <f t="shared" si="34"/>
        <v>DIFERENCIA</v>
      </c>
      <c r="AT32" s="429" t="str">
        <f t="shared" si="34"/>
        <v>PROYECCION EN VENTA CON TIQUET AÑO PASADO</v>
      </c>
      <c r="AU32" s="426" t="str">
        <f t="shared" si="34"/>
        <v>PERDIDA DE DINERO</v>
      </c>
      <c r="AV32" s="429" t="str">
        <f t="shared" si="34"/>
        <v>CUMPLIMIENTO QUE LLEVARIA</v>
      </c>
      <c r="AW32" s="426" t="str">
        <f t="shared" si="34"/>
        <v>CUMPLIMIENTO QUE LLEVA</v>
      </c>
      <c r="AX32" s="429" t="str">
        <f t="shared" si="34"/>
        <v>DIFERENCIA DE CUMPLIMIENTO</v>
      </c>
    </row>
    <row r="33" spans="3:50">
      <c r="C33" s="413" t="s">
        <v>55</v>
      </c>
      <c r="D33" s="332">
        <f t="shared" ref="D33:K33" si="35">D5+D8+D10+D11+D15+D17+D19+D21+D22+D24+D25</f>
        <v>3307244806</v>
      </c>
      <c r="E33" s="473">
        <f t="shared" si="35"/>
        <v>4526</v>
      </c>
      <c r="F33" s="332">
        <f t="shared" si="35"/>
        <v>445580143</v>
      </c>
      <c r="G33" s="332">
        <f t="shared" si="35"/>
        <v>12447004</v>
      </c>
      <c r="H33" s="332">
        <f t="shared" si="35"/>
        <v>3307244806</v>
      </c>
      <c r="I33" s="332">
        <f t="shared" si="35"/>
        <v>527700211.30000007</v>
      </c>
      <c r="J33" s="473">
        <f t="shared" si="35"/>
        <v>4304</v>
      </c>
      <c r="K33" s="332">
        <f t="shared" si="35"/>
        <v>476966235</v>
      </c>
      <c r="L33" s="478">
        <f xml:space="preserve"> (L5+L8+L10+L11+L15+L17+L19+L21+L22+L24+L25)/11</f>
        <v>0.84390974004295749</v>
      </c>
      <c r="M33" s="277">
        <f>K33/H33</f>
        <v>0.14421860581190976</v>
      </c>
      <c r="N33" s="278">
        <f>M33-L33</f>
        <v>-0.69969113423104767</v>
      </c>
      <c r="O33" s="278">
        <f>K33/I33</f>
        <v>0.90385833620377776</v>
      </c>
      <c r="P33" s="277">
        <f>K33/F33-1</f>
        <v>7.0438713423546684E-2</v>
      </c>
      <c r="Q33" s="278">
        <f>K33/G33-1</f>
        <v>37.319762329955061</v>
      </c>
      <c r="R33" s="277">
        <f>(R5+R8+R10+R11+R15+R17+R19+R21+R22+R24+R25)/11</f>
        <v>0.42560909090909094</v>
      </c>
      <c r="S33" s="332">
        <f>S5+S8+S10+S11+S15+S17+S19+S21+S22+S24+S25</f>
        <v>194522134.09200001</v>
      </c>
      <c r="T33" s="332">
        <f>T5+T8+T10+T11+T15+T17+T19+T21+T22+T24+T25</f>
        <v>87151510</v>
      </c>
      <c r="U33" s="474">
        <f>T33/F33</f>
        <v>0.19559109930982718</v>
      </c>
      <c r="V33" s="332">
        <f>V5+V8+V10+V11+V15+V17+V19+V21+V22+V24+V25</f>
        <v>96255570</v>
      </c>
      <c r="W33" s="415">
        <f>V33/K33</f>
        <v>0.20180793300808808</v>
      </c>
      <c r="X33" s="277">
        <f>V33/S33</f>
        <v>0.49483093761697861</v>
      </c>
      <c r="Y33" s="475">
        <f>W33-U33</f>
        <v>6.2168336982608985E-3</v>
      </c>
      <c r="Z33" s="473">
        <f>Z5+Z8+Z10+Z11+Z15+Z17+Z19+Z21+Z22+Z24+Z25</f>
        <v>8622</v>
      </c>
      <c r="AA33" s="473">
        <f>AA5+AA8+AA10+AA11+AA15+AA17+AA19+AA21+AA22+AA24+AA25</f>
        <v>7792</v>
      </c>
      <c r="AB33" s="476">
        <f>Z33/E33</f>
        <v>1.9049933716305789</v>
      </c>
      <c r="AC33" s="476">
        <f>AA33/J33</f>
        <v>1.8104089219330854</v>
      </c>
      <c r="AD33" s="476">
        <f>AC33-AB33</f>
        <v>-9.4584449697493467E-2</v>
      </c>
      <c r="AE33" s="475">
        <f>F33/E33</f>
        <v>98448.993150684924</v>
      </c>
      <c r="AF33" s="477">
        <f>K33/J33</f>
        <v>110819.29251858736</v>
      </c>
      <c r="AG33" s="416">
        <f>AF33-AE33</f>
        <v>12370.299367902437</v>
      </c>
      <c r="AH33" s="473">
        <f>AH5+AH8+AH10+AH11+AH15+AH17+AH19+AH21+AH22+AH24+AH25</f>
        <v>1200</v>
      </c>
      <c r="AI33" s="332">
        <f>AI5+AI8+AI10+AI11+AI15+AI17+AI19+AI21+AI22+AI24+AI25</f>
        <v>96253368.674246743</v>
      </c>
      <c r="AJ33" s="333">
        <f>AI33/F33</f>
        <v>0.21601808380910445</v>
      </c>
      <c r="AK33" s="473">
        <f>AK5+AK8+AK10+AK11+AK15+AK17+AK19+AK21+AK22+AK24+AK25</f>
        <v>1464.0000000000002</v>
      </c>
      <c r="AL33" s="473">
        <f>AL5+AL8+AL10+AL11+AL15+AL17+AL19+AL21+AL22+AL24+AL25</f>
        <v>1351</v>
      </c>
      <c r="AM33" s="332">
        <f>AM5+AM8+AM10+AM11+AM15+AM17+AM19+AM21+AM22+AM24+AM25</f>
        <v>110941749.96000001</v>
      </c>
      <c r="AN33" s="333">
        <f>AM33/K33</f>
        <v>0.23259874980458525</v>
      </c>
      <c r="AO33" s="333">
        <f>AM33/AI33-1</f>
        <v>0.15260121789049896</v>
      </c>
      <c r="AP33" s="478">
        <f>AL33/AK33</f>
        <v>0.92281420765027311</v>
      </c>
      <c r="AQ33" s="332">
        <f>AQ5+AQ8+AQ10+AQ11+AQ15+AQ17+AQ19+AQ21+AQ22+AQ24+AQ25</f>
        <v>16310000</v>
      </c>
      <c r="AR33" s="332">
        <f>AR5+AR8+AR10+AR11+AR15+AR17+AR19+AR21+AR22+AR24+AR25</f>
        <v>11910500</v>
      </c>
      <c r="AS33" s="322">
        <f>AR33-AQ33</f>
        <v>-4399500</v>
      </c>
      <c r="AT33" s="332">
        <f>AT5+AT8+AT10+AT11+AT15+AT17+AT19+AT21+AT22+AT24+AT25</f>
        <v>426319702.52619058</v>
      </c>
      <c r="AU33" s="417">
        <f>K33-AT33</f>
        <v>50646532.473809421</v>
      </c>
      <c r="AV33" s="418">
        <f>AT33/H33</f>
        <v>0.12890479161166474</v>
      </c>
      <c r="AW33" s="418">
        <f>M33</f>
        <v>0.14421860581190976</v>
      </c>
      <c r="AX33" s="418">
        <f>AW33-AV33</f>
        <v>1.5313814200245024E-2</v>
      </c>
    </row>
    <row r="34" spans="3:50">
      <c r="C34" s="413" t="s">
        <v>126</v>
      </c>
      <c r="D34" s="332">
        <f t="shared" ref="D34:I34" si="36">D4+D6+D7+D9+D12+D13+D14+D16+D18+D20+D23</f>
        <v>3240629650</v>
      </c>
      <c r="E34" s="473">
        <f t="shared" si="36"/>
        <v>4809</v>
      </c>
      <c r="F34" s="332">
        <f t="shared" si="36"/>
        <v>454767310</v>
      </c>
      <c r="G34" s="332">
        <f t="shared" si="36"/>
        <v>17818670</v>
      </c>
      <c r="H34" s="332">
        <f>H4+H6+H7+H9+H12+H13+H14+H16+H18+H20+H23</f>
        <v>3240629650</v>
      </c>
      <c r="I34" s="332">
        <f t="shared" si="36"/>
        <v>521976626.47000003</v>
      </c>
      <c r="J34" s="473">
        <f t="shared" ref="J34" si="37">J4+J6+J7+J9+J12+J13+J14+J16+J18+J20+J23</f>
        <v>4384</v>
      </c>
      <c r="K34" s="332">
        <f>K4+K6+K7+K9+K12+K13+K14+K16+K18+K20+K23</f>
        <v>426383093</v>
      </c>
      <c r="L34" s="478">
        <f>(L4+L6+L7+L9+L12+L13+L14+L16+L18+L20+L23)/11</f>
        <v>0.83842849921019347</v>
      </c>
      <c r="M34" s="277">
        <f>K34/H34</f>
        <v>0.13157415041240519</v>
      </c>
      <c r="N34" s="278">
        <f>M34-L34</f>
        <v>-0.7068543487977883</v>
      </c>
      <c r="O34" s="278">
        <f>K34/I34</f>
        <v>0.81686242520766561</v>
      </c>
      <c r="P34" s="277">
        <f>K34/F34-1</f>
        <v>-6.2414813852825102E-2</v>
      </c>
      <c r="Q34" s="278">
        <f>K34/G34-1</f>
        <v>22.929007776674691</v>
      </c>
      <c r="R34" s="277">
        <f>(R4+R6+R7+R9+R12+R13+R14+R16+R18+R20+R23)/11</f>
        <v>0.37584545454545459</v>
      </c>
      <c r="S34" s="332">
        <f>S4+S6+S7+S9+S12+S13+S14+S16+S18+S20+S23</f>
        <v>162430602.69939998</v>
      </c>
      <c r="T34" s="332">
        <f>T4+T6+T7+T9+T12+T13+T14+T16+T18+T20+T23</f>
        <v>79492099</v>
      </c>
      <c r="U34" s="474">
        <f>T34/F34</f>
        <v>0.17479730238305827</v>
      </c>
      <c r="V34" s="332">
        <f>V4+V6+V7+V9+V12+V13+V14+V16+V18+V20+V23</f>
        <v>76157146</v>
      </c>
      <c r="W34" s="415">
        <f>V34/K34</f>
        <v>0.17861202109155863</v>
      </c>
      <c r="X34" s="277">
        <f>V34/S34</f>
        <v>0.46885959132306615</v>
      </c>
      <c r="Y34" s="475">
        <f>W34-U34</f>
        <v>3.8147187085003642E-3</v>
      </c>
      <c r="Z34" s="473">
        <f>Z4+Z6+Z7+Z9+Z12+Z13+Z14+Z16+Z18+Z20+Z23</f>
        <v>8967</v>
      </c>
      <c r="AA34" s="473">
        <f>AA4+AA6+AA7+AA9+AA12+AA13+AA14+AA16+AA18+AA20+AA23</f>
        <v>7209</v>
      </c>
      <c r="AB34" s="476">
        <f>Z34/E34</f>
        <v>1.8646288209606987</v>
      </c>
      <c r="AC34" s="476">
        <f>AA34/J34</f>
        <v>1.6443886861313868</v>
      </c>
      <c r="AD34" s="476">
        <f>AC34-AB34</f>
        <v>-0.22024013482931193</v>
      </c>
      <c r="AE34" s="475">
        <f>F34/E34</f>
        <v>94565.878561031393</v>
      </c>
      <c r="AF34" s="477">
        <f>K34/J34</f>
        <v>97258.91719890511</v>
      </c>
      <c r="AG34" s="416">
        <f>AF34-AE34</f>
        <v>2693.0386378737167</v>
      </c>
      <c r="AH34" s="473">
        <f>AH4+AH6+AH7+AH9+AH12+AH13+AH14+AH16+AH18+AH20+AH23</f>
        <v>1160</v>
      </c>
      <c r="AI34" s="332">
        <f>AI4+AI6+AI7+AI9+AI12+AI13+AI14+AI16+AI18+AI20+AI23</f>
        <v>92499942.44161202</v>
      </c>
      <c r="AJ34" s="333">
        <f>AI34/F34</f>
        <v>0.20340059720126324</v>
      </c>
      <c r="AK34" s="414">
        <f>AK4+AK6+AK7+AK9+AK12+AK13+AK14+AK16+AK18+AK20+AK23</f>
        <v>1415.1999999999998</v>
      </c>
      <c r="AL34" s="414">
        <f>AL4+AL6+AL7+AL9+AL12+AL13+AL14+AL16+AL18+AL20+AL23</f>
        <v>1167</v>
      </c>
      <c r="AM34" s="332">
        <f>AM4+AM6+AM7+AM9+AM12+AM13+AM14+AM16+AM18+AM20+AM23</f>
        <v>95921999.988399997</v>
      </c>
      <c r="AN34" s="333">
        <f>AM34/K34</f>
        <v>0.22496670614563977</v>
      </c>
      <c r="AO34" s="333">
        <f>AM34/AI34-1</f>
        <v>3.6995239742425357E-2</v>
      </c>
      <c r="AP34" s="478">
        <f>AL34/AK34</f>
        <v>0.82461842849067279</v>
      </c>
      <c r="AQ34" s="332">
        <f>AQ4+AQ6+AQ7+AQ9+AQ12+AQ13+AQ14+AQ16+AQ18+AQ20+AQ23</f>
        <v>10635000</v>
      </c>
      <c r="AR34" s="332">
        <f>AR4+AR6+AR7+AR9+AR12+AR13+AR14+AR16+AR18+AR20+AR23</f>
        <v>9250000</v>
      </c>
      <c r="AS34" s="322">
        <f>AR34-AQ34</f>
        <v>-1385000</v>
      </c>
      <c r="AT34" s="332">
        <f>AT4+AT6+AT7+AT9+AT12+AT13+AT14+AT16+AT18+AT20+AT23</f>
        <v>420260855.65228164</v>
      </c>
      <c r="AU34" s="417">
        <f>K34-AT34</f>
        <v>6122237.347718358</v>
      </c>
      <c r="AV34" s="418">
        <f>AT34/H34</f>
        <v>0.12968493812684878</v>
      </c>
      <c r="AW34" s="418">
        <f>M34</f>
        <v>0.13157415041240519</v>
      </c>
      <c r="AX34" s="418">
        <f>AW34-AV34</f>
        <v>1.8892122855564131E-3</v>
      </c>
    </row>
    <row r="35" spans="3:50">
      <c r="D35" s="471"/>
    </row>
  </sheetData>
  <autoFilter ref="B3:M35" xr:uid="{253850B7-D95E-46FE-9A6A-775447F56444}">
    <sortState xmlns:xlrd2="http://schemas.microsoft.com/office/spreadsheetml/2017/richdata2" ref="B4:M24">
      <sortCondition descending="1" ref="M4:M24"/>
    </sortState>
  </autoFilter>
  <mergeCells count="8">
    <mergeCell ref="B1:AX1"/>
    <mergeCell ref="E2:Q2"/>
    <mergeCell ref="R2:Y2"/>
    <mergeCell ref="AB2:AD2"/>
    <mergeCell ref="AE2:AG2"/>
    <mergeCell ref="AH2:AP2"/>
    <mergeCell ref="AQ2:AS2"/>
    <mergeCell ref="AT2:AX2"/>
  </mergeCells>
  <phoneticPr fontId="41" type="noConversion"/>
  <conditionalFormatting sqref="L4:L25 P4:R26 AO4:AO26">
    <cfRule type="cellIs" dxfId="73" priority="6" stopIfTrue="1" operator="greaterThan">
      <formula>0</formula>
    </cfRule>
    <cfRule type="cellIs" dxfId="72" priority="7" stopIfTrue="1" operator="lessThan">
      <formula>79</formula>
    </cfRule>
  </conditionalFormatting>
  <conditionalFormatting sqref="M4:M26 O4:O26">
    <cfRule type="cellIs" dxfId="71" priority="27" operator="greaterThan">
      <formula>0.8</formula>
    </cfRule>
    <cfRule type="cellIs" dxfId="70" priority="58" operator="lessThan">
      <formula>0.7</formula>
    </cfRule>
    <cfRule type="cellIs" dxfId="69" priority="59" operator="lessThan">
      <formula>0.8</formula>
    </cfRule>
  </conditionalFormatting>
  <conditionalFormatting sqref="M33:M34">
    <cfRule type="cellIs" dxfId="68" priority="8" operator="lessThan">
      <formula>0.8</formula>
    </cfRule>
    <cfRule type="cellIs" dxfId="67" priority="9" operator="lessThan">
      <formula>0.7</formula>
    </cfRule>
    <cfRule type="cellIs" dxfId="66" priority="10" operator="greaterThan">
      <formula>0.8</formula>
    </cfRule>
  </conditionalFormatting>
  <conditionalFormatting sqref="O33:O34">
    <cfRule type="cellIs" dxfId="65" priority="24" operator="greaterThan">
      <formula>0.8</formula>
    </cfRule>
    <cfRule type="cellIs" dxfId="64" priority="25" operator="lessThan">
      <formula>0.7</formula>
    </cfRule>
    <cfRule type="cellIs" dxfId="63" priority="26" operator="lessThan">
      <formula>0.8</formula>
    </cfRule>
  </conditionalFormatting>
  <conditionalFormatting sqref="P33:R34">
    <cfRule type="cellIs" dxfId="62" priority="20" operator="greaterThan">
      <formula>0</formula>
    </cfRule>
    <cfRule type="cellIs" dxfId="61" priority="21" operator="lessThan">
      <formula>0</formula>
    </cfRule>
  </conditionalFormatting>
  <conditionalFormatting sqref="U4:U26 AN4:AN26 U33:U34">
    <cfRule type="cellIs" dxfId="60" priority="43" operator="greaterThan">
      <formula>0.3</formula>
    </cfRule>
    <cfRule type="cellIs" dxfId="59" priority="44" operator="lessThan">
      <formula>0.3</formula>
    </cfRule>
  </conditionalFormatting>
  <conditionalFormatting sqref="W4:W26">
    <cfRule type="cellIs" dxfId="58" priority="61" operator="lessThan">
      <formula>0.3</formula>
    </cfRule>
  </conditionalFormatting>
  <conditionalFormatting sqref="W4:W26">
    <cfRule type="cellIs" dxfId="57" priority="48" operator="greaterThan">
      <formula>0.3</formula>
    </cfRule>
  </conditionalFormatting>
  <conditionalFormatting sqref="W33:W34">
    <cfRule type="cellIs" dxfId="56" priority="39" operator="greaterThan">
      <formula>0.3</formula>
    </cfRule>
    <cfRule type="cellIs" dxfId="55" priority="41" operator="lessThan">
      <formula>0.3</formula>
    </cfRule>
  </conditionalFormatting>
  <conditionalFormatting sqref="X4:X26">
    <cfRule type="cellIs" dxfId="54" priority="49" operator="greaterThan">
      <formula>0.8</formula>
    </cfRule>
  </conditionalFormatting>
  <conditionalFormatting sqref="X33:X34">
    <cfRule type="cellIs" dxfId="53" priority="40" operator="greaterThan">
      <formula>0.8</formula>
    </cfRule>
  </conditionalFormatting>
  <conditionalFormatting sqref="X26:Y26 X4:X25">
    <cfRule type="cellIs" dxfId="52" priority="62" operator="lessThan">
      <formula>0.8</formula>
    </cfRule>
  </conditionalFormatting>
  <conditionalFormatting sqref="X33:Y34">
    <cfRule type="cellIs" dxfId="51" priority="42" operator="lessThan">
      <formula>0.8</formula>
    </cfRule>
  </conditionalFormatting>
  <conditionalFormatting sqref="Y26 AD4:AD26 AG4:AG26">
    <cfRule type="cellIs" dxfId="50" priority="23" operator="greaterThan">
      <formula>0</formula>
    </cfRule>
  </conditionalFormatting>
  <conditionalFormatting sqref="AD33:AD34">
    <cfRule type="cellIs" dxfId="49" priority="38" operator="greaterThan">
      <formula>0</formula>
    </cfRule>
  </conditionalFormatting>
  <conditionalFormatting sqref="AD4:AE26 AG4:AH26 AS26 AU26 AX4:AX26 N4:N31 N33:N34">
    <cfRule type="cellIs" dxfId="48" priority="18" operator="lessThan">
      <formula>0</formula>
    </cfRule>
  </conditionalFormatting>
  <conditionalFormatting sqref="AD33:AE34">
    <cfRule type="cellIs" dxfId="47" priority="36" operator="lessThan">
      <formula>0</formula>
    </cfRule>
  </conditionalFormatting>
  <conditionalFormatting sqref="AF4:AF26">
    <cfRule type="cellIs" dxfId="46" priority="65" operator="lessThan">
      <formula>120000</formula>
    </cfRule>
  </conditionalFormatting>
  <conditionalFormatting sqref="AF33:AF34">
    <cfRule type="cellIs" dxfId="45" priority="37" operator="lessThan">
      <formula>120000</formula>
    </cfRule>
  </conditionalFormatting>
  <conditionalFormatting sqref="AG33:AG34">
    <cfRule type="cellIs" dxfId="44" priority="34" operator="greaterThan">
      <formula>0</formula>
    </cfRule>
    <cfRule type="cellIs" dxfId="43" priority="35" operator="lessThan">
      <formula>0</formula>
    </cfRule>
  </conditionalFormatting>
  <conditionalFormatting sqref="AJ33:AJ34">
    <cfRule type="cellIs" dxfId="42" priority="28" operator="lessThan">
      <formula>0.3</formula>
    </cfRule>
  </conditionalFormatting>
  <conditionalFormatting sqref="AN33:AN34">
    <cfRule type="cellIs" dxfId="41" priority="30" operator="greaterThan">
      <formula>0.3</formula>
    </cfRule>
    <cfRule type="cellIs" dxfId="40" priority="31" operator="lessThan">
      <formula>0.3</formula>
    </cfRule>
  </conditionalFormatting>
  <conditionalFormatting sqref="AO33:AO34">
    <cfRule type="cellIs" dxfId="39" priority="32" operator="greaterThan">
      <formula>0</formula>
    </cfRule>
    <cfRule type="cellIs" dxfId="38" priority="33" operator="lessThan">
      <formula>0</formula>
    </cfRule>
  </conditionalFormatting>
  <conditionalFormatting sqref="AP4:AP26">
    <cfRule type="cellIs" dxfId="37" priority="60" operator="lessThan">
      <formula>0.8</formula>
    </cfRule>
    <cfRule type="cellIs" dxfId="36" priority="63" operator="lessThan">
      <formula>0.4</formula>
    </cfRule>
  </conditionalFormatting>
  <conditionalFormatting sqref="AP33:AP34">
    <cfRule type="cellIs" dxfId="35" priority="16" operator="lessThan">
      <formula>0.8</formula>
    </cfRule>
    <cfRule type="cellIs" dxfId="34" priority="17" operator="lessThan">
      <formula>0.4</formula>
    </cfRule>
  </conditionalFormatting>
  <conditionalFormatting sqref="AS33:AS34">
    <cfRule type="cellIs" dxfId="33" priority="19" operator="lessThan">
      <formula>0</formula>
    </cfRule>
  </conditionalFormatting>
  <conditionalFormatting sqref="AU33:AU34">
    <cfRule type="cellIs" dxfId="32" priority="15" operator="lessThan">
      <formula>0</formula>
    </cfRule>
  </conditionalFormatting>
  <conditionalFormatting sqref="AX33:AX34">
    <cfRule type="cellIs" dxfId="31" priority="12" operator="lessThan">
      <formula>0</formula>
    </cfRule>
  </conditionalFormatting>
  <conditionalFormatting sqref="AS4:AS25 AU4:AU25">
    <cfRule type="cellIs" dxfId="30" priority="4" operator="lessThan">
      <formula>0</formula>
    </cfRule>
  </conditionalFormatting>
  <conditionalFormatting sqref="Y4:Y25">
    <cfRule type="cellIs" dxfId="29" priority="3" operator="lessThan">
      <formula>0.8</formula>
    </cfRule>
  </conditionalFormatting>
  <conditionalFormatting sqref="Y4:Y25">
    <cfRule type="cellIs" dxfId="28" priority="2" operator="greaterThan">
      <formula>0</formula>
    </cfRule>
  </conditionalFormatting>
  <conditionalFormatting sqref="AJ4:AJ26">
    <cfRule type="cellIs" dxfId="27" priority="1" operator="lessThan">
      <formula>0.3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8C1D-1E94-499E-B944-759050090F92}">
  <sheetPr codeName="settings"/>
  <dimension ref="A2:B6"/>
  <sheetViews>
    <sheetView workbookViewId="0">
      <selection activeCell="B6" sqref="B6"/>
    </sheetView>
  </sheetViews>
  <sheetFormatPr defaultRowHeight="14.5"/>
  <cols>
    <col min="1" max="1" width="13" bestFit="1" customWidth="1"/>
    <col min="2" max="2" width="9.26953125" bestFit="1" customWidth="1"/>
  </cols>
  <sheetData>
    <row r="2" spans="1:2">
      <c r="A2" t="s">
        <v>177</v>
      </c>
      <c r="B2">
        <v>2026</v>
      </c>
    </row>
    <row r="3" spans="1:2">
      <c r="A3" t="s">
        <v>178</v>
      </c>
      <c r="B3">
        <f>B2-1</f>
        <v>2025</v>
      </c>
    </row>
    <row r="4" spans="1:2">
      <c r="A4" t="s">
        <v>179</v>
      </c>
      <c r="B4" t="s">
        <v>165</v>
      </c>
    </row>
    <row r="5" spans="1:2">
      <c r="A5" t="s">
        <v>180</v>
      </c>
      <c r="B5">
        <v>21</v>
      </c>
    </row>
    <row r="6" spans="1:2">
      <c r="A6" t="s">
        <v>181</v>
      </c>
      <c r="B6">
        <v>2</v>
      </c>
    </row>
  </sheetData>
  <dataValidations count="1">
    <dataValidation type="whole" allowBlank="1" showInputMessage="1" showErrorMessage="1" errorTitle="Error en dias" error="El numero debe ir entre 1 y 31" sqref="B5" xr:uid="{D15BD979-C726-4AD3-9FB7-E39B80A74535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Folder">
                <anchor moveWithCells="1" sizeWithCells="1">
                  <from>
                    <xdr:col>4</xdr:col>
                    <xdr:colOff>31750</xdr:colOff>
                    <xdr:row>3</xdr:row>
                    <xdr:rowOff>31750</xdr:rowOff>
                  </from>
                  <to>
                    <xdr:col>7</xdr:col>
                    <xdr:colOff>203200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portWorkbookWithoutVBA">
                <anchor moveWithCells="1" sizeWithCells="1">
                  <from>
                    <xdr:col>4</xdr:col>
                    <xdr:colOff>82550</xdr:colOff>
                    <xdr:row>11</xdr:row>
                    <xdr:rowOff>38100</xdr:rowOff>
                  </from>
                  <to>
                    <xdr:col>7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74C279-FE63-4670-8A3F-B51D8E05CA9D}">
          <x14:formula1>
            <xm:f>meses!$A$1:$A$12</xm:f>
          </x14:formula1>
          <xm:sqref>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7BD1D-5269-4019-BD3B-511F8A282F2A}">
  <sheetPr codeName="logic"/>
  <dimension ref="A1:XFC28"/>
  <sheetViews>
    <sheetView workbookViewId="0">
      <pane ySplit="1" topLeftCell="A8" activePane="bottomLeft" state="frozen"/>
      <selection pane="bottomLeft" activeCell="C16" sqref="C16"/>
    </sheetView>
  </sheetViews>
  <sheetFormatPr defaultColWidth="0" defaultRowHeight="14.5"/>
  <cols>
    <col min="1" max="1" width="8.7265625" customWidth="1"/>
    <col min="2" max="2" width="34.6328125" bestFit="1" customWidth="1"/>
    <col min="3" max="3" width="58.1796875" customWidth="1"/>
    <col min="4" max="16383" width="8.7265625" hidden="1"/>
    <col min="16384" max="16384" width="12.453125" hidden="1" customWidth="1"/>
  </cols>
  <sheetData>
    <row r="1" spans="1:3">
      <c r="A1" t="s">
        <v>136</v>
      </c>
      <c r="B1" t="s">
        <v>164</v>
      </c>
      <c r="C1" t="s">
        <v>135</v>
      </c>
    </row>
    <row r="2" spans="1:3">
      <c r="A2">
        <v>975</v>
      </c>
      <c r="B2" t="s">
        <v>146</v>
      </c>
      <c r="C2" t="s">
        <v>19</v>
      </c>
    </row>
    <row r="3" spans="1:3">
      <c r="A3">
        <v>975</v>
      </c>
      <c r="B3" t="s">
        <v>146</v>
      </c>
      <c r="C3" t="s">
        <v>138</v>
      </c>
    </row>
    <row r="4" spans="1:3">
      <c r="A4">
        <v>892</v>
      </c>
      <c r="B4" t="s">
        <v>147</v>
      </c>
      <c r="C4" t="s">
        <v>20</v>
      </c>
    </row>
    <row r="5" spans="1:3">
      <c r="A5">
        <v>894</v>
      </c>
      <c r="B5" t="s">
        <v>163</v>
      </c>
      <c r="C5" t="s">
        <v>21</v>
      </c>
    </row>
    <row r="6" spans="1:3">
      <c r="A6">
        <v>895</v>
      </c>
      <c r="B6" t="s">
        <v>148</v>
      </c>
      <c r="C6" t="s">
        <v>139</v>
      </c>
    </row>
    <row r="7" spans="1:3">
      <c r="A7">
        <v>895</v>
      </c>
      <c r="B7" t="s">
        <v>148</v>
      </c>
      <c r="C7" t="s">
        <v>22</v>
      </c>
    </row>
    <row r="8" spans="1:3">
      <c r="A8">
        <v>857</v>
      </c>
      <c r="B8" t="s">
        <v>131</v>
      </c>
      <c r="C8" t="s">
        <v>23</v>
      </c>
    </row>
    <row r="9" spans="1:3">
      <c r="A9">
        <v>857</v>
      </c>
      <c r="B9" t="s">
        <v>131</v>
      </c>
      <c r="C9" t="s">
        <v>137</v>
      </c>
    </row>
    <row r="10" spans="1:3">
      <c r="A10">
        <v>373</v>
      </c>
      <c r="B10" t="s">
        <v>149</v>
      </c>
      <c r="C10" t="s">
        <v>140</v>
      </c>
    </row>
    <row r="11" spans="1:3">
      <c r="A11">
        <v>373</v>
      </c>
      <c r="B11" t="s">
        <v>149</v>
      </c>
      <c r="C11" t="s">
        <v>24</v>
      </c>
    </row>
    <row r="12" spans="1:3">
      <c r="A12" t="s">
        <v>26</v>
      </c>
      <c r="B12" t="s">
        <v>150</v>
      </c>
      <c r="C12" t="s">
        <v>141</v>
      </c>
    </row>
    <row r="13" spans="1:3">
      <c r="A13" t="s">
        <v>27</v>
      </c>
      <c r="B13" t="s">
        <v>28</v>
      </c>
      <c r="C13" t="s">
        <v>143</v>
      </c>
    </row>
    <row r="14" spans="1:3">
      <c r="A14" t="s">
        <v>29</v>
      </c>
      <c r="B14" t="s">
        <v>30</v>
      </c>
      <c r="C14" t="s">
        <v>144</v>
      </c>
    </row>
    <row r="15" spans="1:3">
      <c r="A15" t="s">
        <v>31</v>
      </c>
      <c r="B15" t="s">
        <v>32</v>
      </c>
      <c r="C15" t="s">
        <v>145</v>
      </c>
    </row>
    <row r="16" spans="1:3">
      <c r="A16" t="s">
        <v>114</v>
      </c>
      <c r="B16" t="s">
        <v>152</v>
      </c>
      <c r="C16" t="s">
        <v>115</v>
      </c>
    </row>
    <row r="17" spans="1:3">
      <c r="A17" t="s">
        <v>33</v>
      </c>
      <c r="B17" t="s">
        <v>153</v>
      </c>
      <c r="C17" t="s">
        <v>34</v>
      </c>
    </row>
    <row r="18" spans="1:3">
      <c r="A18" t="s">
        <v>35</v>
      </c>
      <c r="B18" t="s">
        <v>154</v>
      </c>
      <c r="C18" t="s">
        <v>36</v>
      </c>
    </row>
    <row r="19" spans="1:3">
      <c r="A19" t="s">
        <v>37</v>
      </c>
      <c r="B19" t="s">
        <v>155</v>
      </c>
      <c r="C19" t="s">
        <v>38</v>
      </c>
    </row>
    <row r="20" spans="1:3">
      <c r="A20" t="s">
        <v>39</v>
      </c>
      <c r="B20" t="s">
        <v>156</v>
      </c>
      <c r="C20" t="s">
        <v>40</v>
      </c>
    </row>
    <row r="21" spans="1:3">
      <c r="A21">
        <v>983</v>
      </c>
      <c r="B21" t="s">
        <v>151</v>
      </c>
      <c r="C21" t="s">
        <v>41</v>
      </c>
    </row>
    <row r="22" spans="1:3">
      <c r="A22">
        <v>983</v>
      </c>
      <c r="B22" t="s">
        <v>151</v>
      </c>
      <c r="C22" t="s">
        <v>142</v>
      </c>
    </row>
    <row r="23" spans="1:3">
      <c r="A23">
        <v>984</v>
      </c>
      <c r="B23" t="s">
        <v>157</v>
      </c>
      <c r="C23" t="s">
        <v>42</v>
      </c>
    </row>
    <row r="24" spans="1:3">
      <c r="A24" t="s">
        <v>43</v>
      </c>
      <c r="B24" t="s">
        <v>159</v>
      </c>
      <c r="C24" t="s">
        <v>44</v>
      </c>
    </row>
    <row r="25" spans="1:3">
      <c r="A25" t="s">
        <v>45</v>
      </c>
      <c r="B25" t="s">
        <v>158</v>
      </c>
      <c r="C25" t="s">
        <v>46</v>
      </c>
    </row>
    <row r="26" spans="1:3">
      <c r="A26" t="s">
        <v>47</v>
      </c>
      <c r="B26" t="s">
        <v>160</v>
      </c>
      <c r="C26" t="s">
        <v>48</v>
      </c>
    </row>
    <row r="27" spans="1:3">
      <c r="A27" t="s">
        <v>49</v>
      </c>
      <c r="B27" t="s">
        <v>161</v>
      </c>
      <c r="C27" t="s">
        <v>50</v>
      </c>
    </row>
    <row r="28" spans="1:3">
      <c r="A28" t="s">
        <v>51</v>
      </c>
      <c r="B28" t="s">
        <v>162</v>
      </c>
      <c r="C28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8A24C-08E0-4D8E-9F8B-7D97AB86671D}">
  <sheetPr codeName="months"/>
  <dimension ref="A1:C12"/>
  <sheetViews>
    <sheetView workbookViewId="0">
      <selection activeCell="B3" sqref="B3"/>
    </sheetView>
  </sheetViews>
  <sheetFormatPr defaultColWidth="0" defaultRowHeight="14.5" zeroHeight="1"/>
  <cols>
    <col min="1" max="2" width="8.7265625" customWidth="1"/>
    <col min="3" max="3" width="9.453125" style="483" bestFit="1" customWidth="1"/>
    <col min="4" max="16384" width="8.7265625" hidden="1"/>
  </cols>
  <sheetData>
    <row r="1" spans="1:3">
      <c r="A1" t="s">
        <v>165</v>
      </c>
      <c r="B1">
        <v>1</v>
      </c>
      <c r="C1" s="483">
        <f>VALUE(TEXT(EOMONTH(DATE(Ajustes!$B$2, meses!B1,1),0), "dd"))</f>
        <v>31</v>
      </c>
    </row>
    <row r="2" spans="1:3">
      <c r="A2" t="s">
        <v>167</v>
      </c>
      <c r="B2">
        <v>2</v>
      </c>
      <c r="C2" s="483">
        <f>VALUE(TEXT(EOMONTH(DATE(Ajustes!$B$2, meses!B2,1),0), "dd"))</f>
        <v>28</v>
      </c>
    </row>
    <row r="3" spans="1:3">
      <c r="A3" t="s">
        <v>168</v>
      </c>
      <c r="B3">
        <v>3</v>
      </c>
      <c r="C3" s="483">
        <f>VALUE(TEXT(EOMONTH(DATE(Ajustes!$B$2, meses!B3,1),0), "dd"))</f>
        <v>31</v>
      </c>
    </row>
    <row r="4" spans="1:3">
      <c r="A4" t="s">
        <v>169</v>
      </c>
      <c r="B4">
        <v>4</v>
      </c>
      <c r="C4" s="483">
        <f>VALUE(TEXT(EOMONTH(DATE(Ajustes!$B$2, meses!B4,1),0), "dd"))</f>
        <v>30</v>
      </c>
    </row>
    <row r="5" spans="1:3">
      <c r="A5" t="s">
        <v>170</v>
      </c>
      <c r="B5">
        <v>5</v>
      </c>
      <c r="C5" s="483">
        <f>VALUE(TEXT(EOMONTH(DATE(Ajustes!$B$2, meses!B5,1),0), "dd"))</f>
        <v>31</v>
      </c>
    </row>
    <row r="6" spans="1:3">
      <c r="A6" t="s">
        <v>171</v>
      </c>
      <c r="B6">
        <v>6</v>
      </c>
      <c r="C6" s="483">
        <f>VALUE(TEXT(EOMONTH(DATE(Ajustes!$B$2, meses!B6,1),0), "dd"))</f>
        <v>30</v>
      </c>
    </row>
    <row r="7" spans="1:3">
      <c r="A7" t="s">
        <v>172</v>
      </c>
      <c r="B7">
        <v>7</v>
      </c>
      <c r="C7" s="483">
        <f>VALUE(TEXT(EOMONTH(DATE(Ajustes!$B$2, meses!B7,1),0), "dd"))</f>
        <v>31</v>
      </c>
    </row>
    <row r="8" spans="1:3">
      <c r="A8" t="s">
        <v>173</v>
      </c>
      <c r="B8">
        <v>8</v>
      </c>
      <c r="C8" s="483">
        <f>VALUE(TEXT(EOMONTH(DATE(Ajustes!$B$2, meses!B8,1),0), "dd"))</f>
        <v>31</v>
      </c>
    </row>
    <row r="9" spans="1:3">
      <c r="A9" t="s">
        <v>166</v>
      </c>
      <c r="B9">
        <v>9</v>
      </c>
      <c r="C9" s="483">
        <f>VALUE(TEXT(EOMONTH(DATE(Ajustes!$B$2, meses!B9,1),0), "dd"))</f>
        <v>30</v>
      </c>
    </row>
    <row r="10" spans="1:3">
      <c r="A10" t="s">
        <v>174</v>
      </c>
      <c r="B10">
        <v>10</v>
      </c>
      <c r="C10" s="483">
        <f>VALUE(TEXT(EOMONTH(DATE(Ajustes!$B$2, meses!B10,1),0), "dd"))</f>
        <v>31</v>
      </c>
    </row>
    <row r="11" spans="1:3">
      <c r="A11" t="s">
        <v>175</v>
      </c>
      <c r="B11">
        <v>11</v>
      </c>
      <c r="C11" s="483">
        <f>VALUE(TEXT(EOMONTH(DATE(Ajustes!$B$2, meses!B11,1),0), "dd"))</f>
        <v>30</v>
      </c>
    </row>
    <row r="12" spans="1:3">
      <c r="A12" t="s">
        <v>176</v>
      </c>
      <c r="B12">
        <v>12</v>
      </c>
      <c r="C12" s="483">
        <f>VALUE(TEXT(EOMONTH(DATE(Ajustes!$B$2, meses!B12,1),0), "dd"))</f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D2AD2-8DFB-40A4-B093-2855DBA20ABD}">
  <sheetPr codeName="comparative">
    <tabColor theme="7" tint="-0.249977111117893"/>
  </sheetPr>
  <dimension ref="A1:Y53"/>
  <sheetViews>
    <sheetView topLeftCell="A41" zoomScale="90" zoomScaleNormal="90" workbookViewId="0">
      <selection activeCell="D34" sqref="D34"/>
    </sheetView>
  </sheetViews>
  <sheetFormatPr defaultColWidth="11.453125" defaultRowHeight="13"/>
  <cols>
    <col min="1" max="1" width="13" style="194" customWidth="1"/>
    <col min="2" max="2" width="26" style="86" customWidth="1"/>
    <col min="3" max="3" width="11" style="86" customWidth="1"/>
    <col min="4" max="4" width="11.81640625" style="86" customWidth="1"/>
    <col min="5" max="5" width="12" style="86" customWidth="1"/>
    <col min="6" max="6" width="14.26953125" style="86" customWidth="1"/>
    <col min="7" max="8" width="15.54296875" style="194" customWidth="1"/>
    <col min="9" max="9" width="14.81640625" style="86" customWidth="1"/>
    <col min="10" max="10" width="13.81640625" style="86" customWidth="1"/>
    <col min="11" max="11" width="12.26953125" style="86" customWidth="1"/>
    <col min="12" max="12" width="11.54296875" style="86" customWidth="1"/>
    <col min="13" max="13" width="12" style="86" customWidth="1"/>
    <col min="14" max="17" width="4.26953125" style="86" customWidth="1"/>
    <col min="18" max="18" width="15.1796875" style="86" customWidth="1"/>
    <col min="19" max="19" width="13.81640625" style="86" customWidth="1"/>
    <col min="20" max="21" width="16.1796875" style="86" customWidth="1"/>
    <col min="22" max="22" width="14.81640625" style="86" customWidth="1"/>
    <col min="23" max="23" width="17.54296875" style="86" bestFit="1" customWidth="1"/>
    <col min="24" max="16384" width="11.453125" style="86"/>
  </cols>
  <sheetData>
    <row r="1" spans="2:13" ht="16" hidden="1" thickBot="1">
      <c r="B1" s="493" t="s">
        <v>82</v>
      </c>
      <c r="C1" s="493"/>
      <c r="D1" s="493"/>
      <c r="E1" s="493"/>
      <c r="F1" s="493"/>
      <c r="G1" s="493"/>
      <c r="H1" s="493"/>
      <c r="I1" s="493"/>
      <c r="J1" s="493"/>
      <c r="K1" s="493"/>
      <c r="L1" s="493"/>
      <c r="M1" s="493"/>
    </row>
    <row r="2" spans="2:13" ht="13.5" hidden="1" thickBot="1">
      <c r="B2" s="87" t="s">
        <v>83</v>
      </c>
      <c r="C2" s="88" t="s">
        <v>84</v>
      </c>
      <c r="D2" s="89" t="s">
        <v>85</v>
      </c>
      <c r="E2" s="89" t="s">
        <v>12</v>
      </c>
      <c r="F2" s="90" t="s">
        <v>86</v>
      </c>
      <c r="G2" s="91" t="s">
        <v>87</v>
      </c>
      <c r="H2" s="92" t="s">
        <v>88</v>
      </c>
      <c r="I2" s="89" t="s">
        <v>12</v>
      </c>
      <c r="J2" s="93" t="s">
        <v>86</v>
      </c>
      <c r="K2" s="94" t="s">
        <v>89</v>
      </c>
      <c r="L2" s="94" t="s">
        <v>89</v>
      </c>
      <c r="M2" s="94" t="s">
        <v>12</v>
      </c>
    </row>
    <row r="3" spans="2:13" ht="13.5" hidden="1" thickBot="1">
      <c r="B3" s="95" t="s">
        <v>90</v>
      </c>
      <c r="C3" s="96"/>
      <c r="D3" s="97"/>
      <c r="E3" s="97">
        <f t="shared" ref="E3:E21" si="0">D3-C3</f>
        <v>0</v>
      </c>
      <c r="F3" s="98" t="e">
        <f t="shared" ref="F3:F22" si="1">D3/C3-1</f>
        <v>#DIV/0!</v>
      </c>
      <c r="G3" s="99"/>
      <c r="H3" s="100"/>
      <c r="I3" s="100">
        <f t="shared" ref="I3:I21" si="2">H3-G3</f>
        <v>0</v>
      </c>
      <c r="J3" s="101" t="e">
        <f t="shared" ref="J3:J22" si="3">H3/G3-1</f>
        <v>#DIV/0!</v>
      </c>
      <c r="K3" s="102" t="e">
        <f t="shared" ref="K3:L22" si="4">G3/G$22</f>
        <v>#DIV/0!</v>
      </c>
      <c r="L3" s="102" t="e">
        <f t="shared" si="4"/>
        <v>#DIV/0!</v>
      </c>
      <c r="M3" s="102" t="e">
        <f t="shared" ref="M3:M22" si="5">L3-K3</f>
        <v>#DIV/0!</v>
      </c>
    </row>
    <row r="4" spans="2:13" ht="13.5" hidden="1" thickBot="1">
      <c r="B4" s="103" t="s">
        <v>91</v>
      </c>
      <c r="C4" s="104"/>
      <c r="D4" s="105"/>
      <c r="E4" s="105">
        <f t="shared" si="0"/>
        <v>0</v>
      </c>
      <c r="F4" s="106" t="e">
        <f t="shared" si="1"/>
        <v>#DIV/0!</v>
      </c>
      <c r="G4" s="107"/>
      <c r="H4" s="108"/>
      <c r="I4" s="109">
        <f t="shared" si="2"/>
        <v>0</v>
      </c>
      <c r="J4" s="110" t="e">
        <f t="shared" si="3"/>
        <v>#DIV/0!</v>
      </c>
      <c r="K4" s="111" t="e">
        <f t="shared" si="4"/>
        <v>#DIV/0!</v>
      </c>
      <c r="L4" s="111" t="e">
        <f t="shared" si="4"/>
        <v>#DIV/0!</v>
      </c>
      <c r="M4" s="112" t="e">
        <f t="shared" si="5"/>
        <v>#DIV/0!</v>
      </c>
    </row>
    <row r="5" spans="2:13" hidden="1">
      <c r="B5" s="113" t="s">
        <v>92</v>
      </c>
      <c r="C5" s="114"/>
      <c r="D5" s="115"/>
      <c r="E5" s="115">
        <f t="shared" si="0"/>
        <v>0</v>
      </c>
      <c r="F5" s="116" t="e">
        <f t="shared" si="1"/>
        <v>#DIV/0!</v>
      </c>
      <c r="G5" s="117"/>
      <c r="H5" s="118"/>
      <c r="I5" s="118">
        <f t="shared" si="2"/>
        <v>0</v>
      </c>
      <c r="J5" s="119" t="e">
        <f t="shared" si="3"/>
        <v>#DIV/0!</v>
      </c>
      <c r="K5" s="120" t="e">
        <f t="shared" si="4"/>
        <v>#DIV/0!</v>
      </c>
      <c r="L5" s="120" t="e">
        <f t="shared" si="4"/>
        <v>#DIV/0!</v>
      </c>
      <c r="M5" s="120" t="e">
        <f t="shared" si="5"/>
        <v>#DIV/0!</v>
      </c>
    </row>
    <row r="6" spans="2:13" hidden="1">
      <c r="B6" s="121" t="s">
        <v>93</v>
      </c>
      <c r="C6" s="122"/>
      <c r="D6" s="123"/>
      <c r="E6" s="115">
        <f t="shared" si="0"/>
        <v>0</v>
      </c>
      <c r="F6" s="124" t="e">
        <f t="shared" si="1"/>
        <v>#DIV/0!</v>
      </c>
      <c r="G6" s="125"/>
      <c r="H6" s="126"/>
      <c r="I6" s="118">
        <f t="shared" si="2"/>
        <v>0</v>
      </c>
      <c r="J6" s="127" t="e">
        <f t="shared" si="3"/>
        <v>#DIV/0!</v>
      </c>
      <c r="K6" s="128" t="e">
        <f t="shared" si="4"/>
        <v>#DIV/0!</v>
      </c>
      <c r="L6" s="128" t="e">
        <f t="shared" si="4"/>
        <v>#DIV/0!</v>
      </c>
      <c r="M6" s="128" t="e">
        <f t="shared" si="5"/>
        <v>#DIV/0!</v>
      </c>
    </row>
    <row r="7" spans="2:13" hidden="1">
      <c r="B7" s="121" t="s">
        <v>94</v>
      </c>
      <c r="C7" s="122"/>
      <c r="D7" s="123"/>
      <c r="E7" s="115">
        <f t="shared" si="0"/>
        <v>0</v>
      </c>
      <c r="F7" s="124" t="e">
        <f t="shared" si="1"/>
        <v>#DIV/0!</v>
      </c>
      <c r="G7" s="125"/>
      <c r="H7" s="126"/>
      <c r="I7" s="118">
        <f t="shared" si="2"/>
        <v>0</v>
      </c>
      <c r="J7" s="127" t="e">
        <f t="shared" si="3"/>
        <v>#DIV/0!</v>
      </c>
      <c r="K7" s="128" t="e">
        <f t="shared" si="4"/>
        <v>#DIV/0!</v>
      </c>
      <c r="L7" s="128" t="e">
        <f t="shared" si="4"/>
        <v>#DIV/0!</v>
      </c>
      <c r="M7" s="128" t="e">
        <f t="shared" si="5"/>
        <v>#DIV/0!</v>
      </c>
    </row>
    <row r="8" spans="2:13" ht="13.5" hidden="1" thickBot="1">
      <c r="B8" s="129" t="s">
        <v>95</v>
      </c>
      <c r="C8" s="130"/>
      <c r="D8" s="131"/>
      <c r="E8" s="97">
        <f t="shared" si="0"/>
        <v>0</v>
      </c>
      <c r="F8" s="132" t="e">
        <f t="shared" si="1"/>
        <v>#DIV/0!</v>
      </c>
      <c r="G8" s="133"/>
      <c r="H8" s="134"/>
      <c r="I8" s="100">
        <f t="shared" si="2"/>
        <v>0</v>
      </c>
      <c r="J8" s="135" t="e">
        <f t="shared" si="3"/>
        <v>#DIV/0!</v>
      </c>
      <c r="K8" s="102" t="e">
        <f t="shared" si="4"/>
        <v>#DIV/0!</v>
      </c>
      <c r="L8" s="102" t="e">
        <f t="shared" si="4"/>
        <v>#DIV/0!</v>
      </c>
      <c r="M8" s="102" t="e">
        <f t="shared" si="5"/>
        <v>#DIV/0!</v>
      </c>
    </row>
    <row r="9" spans="2:13" ht="13.5" hidden="1" thickBot="1">
      <c r="B9" s="136" t="s">
        <v>96</v>
      </c>
      <c r="C9" s="104"/>
      <c r="D9" s="105"/>
      <c r="E9" s="105">
        <f t="shared" si="0"/>
        <v>0</v>
      </c>
      <c r="F9" s="106" t="e">
        <f t="shared" si="1"/>
        <v>#DIV/0!</v>
      </c>
      <c r="G9" s="107"/>
      <c r="H9" s="108"/>
      <c r="I9" s="108">
        <f t="shared" si="2"/>
        <v>0</v>
      </c>
      <c r="J9" s="110" t="e">
        <f t="shared" si="3"/>
        <v>#DIV/0!</v>
      </c>
      <c r="K9" s="111" t="e">
        <f t="shared" si="4"/>
        <v>#DIV/0!</v>
      </c>
      <c r="L9" s="111" t="e">
        <f t="shared" si="4"/>
        <v>#DIV/0!</v>
      </c>
      <c r="M9" s="112" t="e">
        <f t="shared" si="5"/>
        <v>#DIV/0!</v>
      </c>
    </row>
    <row r="10" spans="2:13" ht="13.5" hidden="1" thickBot="1">
      <c r="B10" s="137" t="s">
        <v>97</v>
      </c>
      <c r="C10" s="96"/>
      <c r="D10" s="97"/>
      <c r="E10" s="97">
        <f t="shared" si="0"/>
        <v>0</v>
      </c>
      <c r="F10" s="98" t="e">
        <f t="shared" si="1"/>
        <v>#DIV/0!</v>
      </c>
      <c r="G10" s="99"/>
      <c r="H10" s="100"/>
      <c r="I10" s="100">
        <f t="shared" si="2"/>
        <v>0</v>
      </c>
      <c r="J10" s="101" t="e">
        <f t="shared" si="3"/>
        <v>#DIV/0!</v>
      </c>
      <c r="K10" s="138" t="e">
        <f t="shared" si="4"/>
        <v>#DIV/0!</v>
      </c>
      <c r="L10" s="138" t="e">
        <f t="shared" si="4"/>
        <v>#DIV/0!</v>
      </c>
      <c r="M10" s="138" t="e">
        <f t="shared" si="5"/>
        <v>#DIV/0!</v>
      </c>
    </row>
    <row r="11" spans="2:13" ht="13.5" hidden="1" thickBot="1">
      <c r="B11" s="136" t="s">
        <v>98</v>
      </c>
      <c r="C11" s="104"/>
      <c r="D11" s="105"/>
      <c r="E11" s="105">
        <f t="shared" si="0"/>
        <v>0</v>
      </c>
      <c r="F11" s="106" t="e">
        <f t="shared" si="1"/>
        <v>#DIV/0!</v>
      </c>
      <c r="G11" s="107"/>
      <c r="H11" s="108"/>
      <c r="I11" s="108">
        <f t="shared" si="2"/>
        <v>0</v>
      </c>
      <c r="J11" s="110" t="e">
        <f t="shared" si="3"/>
        <v>#DIV/0!</v>
      </c>
      <c r="K11" s="111" t="e">
        <f t="shared" si="4"/>
        <v>#DIV/0!</v>
      </c>
      <c r="L11" s="111" t="e">
        <f t="shared" si="4"/>
        <v>#DIV/0!</v>
      </c>
      <c r="M11" s="112" t="e">
        <f t="shared" si="5"/>
        <v>#DIV/0!</v>
      </c>
    </row>
    <row r="12" spans="2:13" hidden="1">
      <c r="B12" s="113" t="s">
        <v>99</v>
      </c>
      <c r="C12" s="114"/>
      <c r="D12" s="115"/>
      <c r="E12" s="115">
        <f t="shared" si="0"/>
        <v>0</v>
      </c>
      <c r="F12" s="116" t="e">
        <f t="shared" si="1"/>
        <v>#DIV/0!</v>
      </c>
      <c r="G12" s="117"/>
      <c r="H12" s="118"/>
      <c r="I12" s="118">
        <f t="shared" si="2"/>
        <v>0</v>
      </c>
      <c r="J12" s="119" t="e">
        <f t="shared" si="3"/>
        <v>#DIV/0!</v>
      </c>
      <c r="K12" s="120" t="e">
        <f t="shared" si="4"/>
        <v>#DIV/0!</v>
      </c>
      <c r="L12" s="120" t="e">
        <f t="shared" si="4"/>
        <v>#DIV/0!</v>
      </c>
      <c r="M12" s="120" t="e">
        <f t="shared" si="5"/>
        <v>#DIV/0!</v>
      </c>
    </row>
    <row r="13" spans="2:13" ht="13.5" hidden="1" thickBot="1">
      <c r="B13" s="129" t="s">
        <v>100</v>
      </c>
      <c r="C13" s="130"/>
      <c r="D13" s="131"/>
      <c r="E13" s="97">
        <f t="shared" si="0"/>
        <v>0</v>
      </c>
      <c r="F13" s="132" t="e">
        <f t="shared" si="1"/>
        <v>#DIV/0!</v>
      </c>
      <c r="G13" s="133"/>
      <c r="H13" s="134"/>
      <c r="I13" s="100">
        <f t="shared" si="2"/>
        <v>0</v>
      </c>
      <c r="J13" s="135" t="e">
        <f t="shared" si="3"/>
        <v>#DIV/0!</v>
      </c>
      <c r="K13" s="102" t="e">
        <f t="shared" si="4"/>
        <v>#DIV/0!</v>
      </c>
      <c r="L13" s="102" t="e">
        <f t="shared" si="4"/>
        <v>#DIV/0!</v>
      </c>
      <c r="M13" s="102" t="e">
        <f t="shared" si="5"/>
        <v>#DIV/0!</v>
      </c>
    </row>
    <row r="14" spans="2:13" ht="13.5" hidden="1" thickBot="1">
      <c r="B14" s="136" t="s">
        <v>101</v>
      </c>
      <c r="C14" s="104"/>
      <c r="D14" s="105"/>
      <c r="E14" s="105">
        <f t="shared" si="0"/>
        <v>0</v>
      </c>
      <c r="F14" s="106" t="e">
        <f t="shared" si="1"/>
        <v>#DIV/0!</v>
      </c>
      <c r="G14" s="107"/>
      <c r="H14" s="108"/>
      <c r="I14" s="109">
        <f t="shared" si="2"/>
        <v>0</v>
      </c>
      <c r="J14" s="110" t="e">
        <f t="shared" si="3"/>
        <v>#DIV/0!</v>
      </c>
      <c r="K14" s="111" t="e">
        <f t="shared" si="4"/>
        <v>#DIV/0!</v>
      </c>
      <c r="L14" s="111" t="e">
        <f t="shared" si="4"/>
        <v>#DIV/0!</v>
      </c>
      <c r="M14" s="112" t="e">
        <f t="shared" si="5"/>
        <v>#DIV/0!</v>
      </c>
    </row>
    <row r="15" spans="2:13" hidden="1">
      <c r="B15" s="139" t="s">
        <v>102</v>
      </c>
      <c r="C15" s="114"/>
      <c r="D15" s="115"/>
      <c r="E15" s="115">
        <f t="shared" si="0"/>
        <v>0</v>
      </c>
      <c r="F15" s="116" t="e">
        <f t="shared" si="1"/>
        <v>#DIV/0!</v>
      </c>
      <c r="G15" s="117"/>
      <c r="H15" s="118"/>
      <c r="I15" s="118">
        <f t="shared" si="2"/>
        <v>0</v>
      </c>
      <c r="J15" s="119" t="e">
        <f t="shared" si="3"/>
        <v>#DIV/0!</v>
      </c>
      <c r="K15" s="120" t="e">
        <f t="shared" si="4"/>
        <v>#DIV/0!</v>
      </c>
      <c r="L15" s="120" t="e">
        <f t="shared" si="4"/>
        <v>#DIV/0!</v>
      </c>
      <c r="M15" s="120" t="e">
        <f t="shared" si="5"/>
        <v>#DIV/0!</v>
      </c>
    </row>
    <row r="16" spans="2:13" hidden="1">
      <c r="B16" s="121" t="s">
        <v>103</v>
      </c>
      <c r="C16" s="122"/>
      <c r="D16" s="123"/>
      <c r="E16" s="115">
        <f t="shared" si="0"/>
        <v>0</v>
      </c>
      <c r="F16" s="124" t="e">
        <f t="shared" si="1"/>
        <v>#DIV/0!</v>
      </c>
      <c r="G16" s="125"/>
      <c r="H16" s="126"/>
      <c r="I16" s="118">
        <f t="shared" si="2"/>
        <v>0</v>
      </c>
      <c r="J16" s="127" t="e">
        <f t="shared" si="3"/>
        <v>#DIV/0!</v>
      </c>
      <c r="K16" s="128" t="e">
        <f t="shared" si="4"/>
        <v>#DIV/0!</v>
      </c>
      <c r="L16" s="128" t="e">
        <f t="shared" si="4"/>
        <v>#DIV/0!</v>
      </c>
      <c r="M16" s="128" t="e">
        <f t="shared" si="5"/>
        <v>#DIV/0!</v>
      </c>
    </row>
    <row r="17" spans="1:23" ht="13.5" hidden="1" thickBot="1">
      <c r="B17" s="140" t="s">
        <v>104</v>
      </c>
      <c r="C17" s="130"/>
      <c r="D17" s="131"/>
      <c r="E17" s="97">
        <f t="shared" si="0"/>
        <v>0</v>
      </c>
      <c r="F17" s="132" t="e">
        <f t="shared" si="1"/>
        <v>#DIV/0!</v>
      </c>
      <c r="G17" s="133"/>
      <c r="H17" s="134"/>
      <c r="I17" s="100">
        <f t="shared" si="2"/>
        <v>0</v>
      </c>
      <c r="J17" s="135" t="e">
        <f t="shared" si="3"/>
        <v>#DIV/0!</v>
      </c>
      <c r="K17" s="102" t="e">
        <f t="shared" si="4"/>
        <v>#DIV/0!</v>
      </c>
      <c r="L17" s="102" t="e">
        <f t="shared" si="4"/>
        <v>#DIV/0!</v>
      </c>
      <c r="M17" s="102" t="e">
        <f t="shared" si="5"/>
        <v>#DIV/0!</v>
      </c>
    </row>
    <row r="18" spans="1:23" ht="13.5" hidden="1" thickBot="1">
      <c r="B18" s="103" t="s">
        <v>105</v>
      </c>
      <c r="C18" s="104"/>
      <c r="D18" s="105"/>
      <c r="E18" s="105">
        <f t="shared" si="0"/>
        <v>0</v>
      </c>
      <c r="F18" s="106" t="e">
        <f t="shared" si="1"/>
        <v>#DIV/0!</v>
      </c>
      <c r="G18" s="107"/>
      <c r="H18" s="108"/>
      <c r="I18" s="109">
        <f t="shared" si="2"/>
        <v>0</v>
      </c>
      <c r="J18" s="110" t="e">
        <f t="shared" si="3"/>
        <v>#DIV/0!</v>
      </c>
      <c r="K18" s="111" t="e">
        <f t="shared" si="4"/>
        <v>#DIV/0!</v>
      </c>
      <c r="L18" s="111" t="e">
        <f t="shared" si="4"/>
        <v>#DIV/0!</v>
      </c>
      <c r="M18" s="112" t="e">
        <f t="shared" si="5"/>
        <v>#DIV/0!</v>
      </c>
    </row>
    <row r="19" spans="1:23" hidden="1">
      <c r="B19" s="113" t="s">
        <v>106</v>
      </c>
      <c r="C19" s="114"/>
      <c r="D19" s="115"/>
      <c r="E19" s="115">
        <f t="shared" si="0"/>
        <v>0</v>
      </c>
      <c r="F19" s="116" t="e">
        <f t="shared" si="1"/>
        <v>#DIV/0!</v>
      </c>
      <c r="G19" s="117"/>
      <c r="H19" s="118"/>
      <c r="I19" s="118">
        <f t="shared" si="2"/>
        <v>0</v>
      </c>
      <c r="J19" s="119" t="e">
        <f t="shared" si="3"/>
        <v>#DIV/0!</v>
      </c>
      <c r="K19" s="120" t="e">
        <f t="shared" si="4"/>
        <v>#DIV/0!</v>
      </c>
      <c r="L19" s="120" t="e">
        <f t="shared" si="4"/>
        <v>#DIV/0!</v>
      </c>
      <c r="M19" s="120" t="e">
        <f t="shared" si="5"/>
        <v>#DIV/0!</v>
      </c>
    </row>
    <row r="20" spans="1:23" hidden="1">
      <c r="B20" s="121" t="s">
        <v>107</v>
      </c>
      <c r="C20" s="122"/>
      <c r="D20" s="123"/>
      <c r="E20" s="115">
        <f t="shared" si="0"/>
        <v>0</v>
      </c>
      <c r="F20" s="124" t="e">
        <f t="shared" si="1"/>
        <v>#DIV/0!</v>
      </c>
      <c r="G20" s="125"/>
      <c r="H20" s="126"/>
      <c r="I20" s="118">
        <f t="shared" si="2"/>
        <v>0</v>
      </c>
      <c r="J20" s="127" t="e">
        <f t="shared" si="3"/>
        <v>#DIV/0!</v>
      </c>
      <c r="K20" s="128" t="e">
        <f t="shared" si="4"/>
        <v>#DIV/0!</v>
      </c>
      <c r="L20" s="128" t="e">
        <f t="shared" si="4"/>
        <v>#DIV/0!</v>
      </c>
      <c r="M20" s="128" t="e">
        <f t="shared" si="5"/>
        <v>#DIV/0!</v>
      </c>
    </row>
    <row r="21" spans="1:23" ht="13.5" hidden="1" thickBot="1">
      <c r="B21" s="129" t="s">
        <v>108</v>
      </c>
      <c r="C21" s="130"/>
      <c r="D21" s="131"/>
      <c r="E21" s="115">
        <f t="shared" si="0"/>
        <v>0</v>
      </c>
      <c r="F21" s="132" t="e">
        <f t="shared" si="1"/>
        <v>#DIV/0!</v>
      </c>
      <c r="G21" s="133"/>
      <c r="H21" s="134"/>
      <c r="I21" s="118">
        <f t="shared" si="2"/>
        <v>0</v>
      </c>
      <c r="J21" s="135" t="e">
        <f t="shared" si="3"/>
        <v>#DIV/0!</v>
      </c>
      <c r="K21" s="102" t="e">
        <f t="shared" si="4"/>
        <v>#DIV/0!</v>
      </c>
      <c r="L21" s="102" t="e">
        <f t="shared" si="4"/>
        <v>#DIV/0!</v>
      </c>
      <c r="M21" s="102" t="e">
        <f t="shared" si="5"/>
        <v>#DIV/0!</v>
      </c>
    </row>
    <row r="22" spans="1:23" ht="13.5" hidden="1" thickBot="1">
      <c r="B22" s="141" t="s">
        <v>109</v>
      </c>
      <c r="C22" s="142">
        <f>SUM(C3:C21)</f>
        <v>0</v>
      </c>
      <c r="D22" s="142">
        <f>SUM(D3:D21)</f>
        <v>0</v>
      </c>
      <c r="E22" s="142">
        <f>SUM(E3:E21)</f>
        <v>0</v>
      </c>
      <c r="F22" s="143" t="e">
        <f t="shared" si="1"/>
        <v>#DIV/0!</v>
      </c>
      <c r="G22" s="144">
        <f>SUM(G3:G21)</f>
        <v>0</v>
      </c>
      <c r="H22" s="145">
        <f>SUM(H3:H21)</f>
        <v>0</v>
      </c>
      <c r="I22" s="146">
        <f>SUM(I3:I21)</f>
        <v>0</v>
      </c>
      <c r="J22" s="147" t="e">
        <f t="shared" si="3"/>
        <v>#DIV/0!</v>
      </c>
      <c r="K22" s="148" t="e">
        <f t="shared" si="4"/>
        <v>#DIV/0!</v>
      </c>
      <c r="L22" s="148" t="e">
        <f t="shared" si="4"/>
        <v>#DIV/0!</v>
      </c>
      <c r="M22" s="149" t="e">
        <f t="shared" si="5"/>
        <v>#DIV/0!</v>
      </c>
    </row>
    <row r="23" spans="1:23" ht="13.5" hidden="1" thickBot="1">
      <c r="B23" s="150"/>
      <c r="C23" s="151"/>
      <c r="D23" s="151"/>
      <c r="E23" s="151"/>
      <c r="F23" s="152"/>
      <c r="G23" s="153"/>
      <c r="H23" s="153"/>
      <c r="I23" s="154"/>
      <c r="J23" s="152"/>
      <c r="K23" s="155"/>
      <c r="L23" s="155"/>
      <c r="M23" s="155"/>
    </row>
    <row r="24" spans="1:23" hidden="1">
      <c r="B24" s="156" t="s">
        <v>110</v>
      </c>
      <c r="C24" s="157">
        <f>C18+C14+C11+C9+C4</f>
        <v>0</v>
      </c>
      <c r="D24" s="157">
        <f>D18+D14+D11+D9+D4</f>
        <v>0</v>
      </c>
      <c r="E24" s="158">
        <f>D24-C24</f>
        <v>0</v>
      </c>
      <c r="F24" s="159" t="e">
        <f>D24/C24-1</f>
        <v>#DIV/0!</v>
      </c>
      <c r="G24" s="160">
        <f>G18+G14+G11+G9+G4</f>
        <v>0</v>
      </c>
      <c r="H24" s="160">
        <f>H18+H14+H11+H9+H4</f>
        <v>0</v>
      </c>
      <c r="I24" s="161">
        <f>H24-G24</f>
        <v>0</v>
      </c>
      <c r="J24" s="159" t="e">
        <f>H24/G24-1</f>
        <v>#DIV/0!</v>
      </c>
      <c r="K24" s="162" t="e">
        <f t="shared" ref="K24:L26" si="6">G24/G$22</f>
        <v>#DIV/0!</v>
      </c>
      <c r="L24" s="162" t="e">
        <f t="shared" si="6"/>
        <v>#DIV/0!</v>
      </c>
      <c r="M24" s="163" t="e">
        <f>L24-K24</f>
        <v>#DIV/0!</v>
      </c>
    </row>
    <row r="25" spans="1:23" hidden="1">
      <c r="B25" s="164" t="s">
        <v>111</v>
      </c>
      <c r="C25" s="165">
        <f>C22-C26</f>
        <v>0</v>
      </c>
      <c r="D25" s="165">
        <f>D22-D26</f>
        <v>0</v>
      </c>
      <c r="E25" s="166">
        <f>D25-C25</f>
        <v>0</v>
      </c>
      <c r="F25" s="167" t="e">
        <f>D25/C25-1</f>
        <v>#DIV/0!</v>
      </c>
      <c r="G25" s="168">
        <f>G22-G26</f>
        <v>0</v>
      </c>
      <c r="H25" s="168">
        <f>H22-H26</f>
        <v>0</v>
      </c>
      <c r="I25" s="169">
        <f>H25-G25</f>
        <v>0</v>
      </c>
      <c r="J25" s="167" t="e">
        <f>H25/G25-1</f>
        <v>#DIV/0!</v>
      </c>
      <c r="K25" s="170" t="e">
        <f t="shared" si="6"/>
        <v>#DIV/0!</v>
      </c>
      <c r="L25" s="170" t="e">
        <f t="shared" si="6"/>
        <v>#DIV/0!</v>
      </c>
      <c r="M25" s="171" t="e">
        <f>L25-K25</f>
        <v>#DIV/0!</v>
      </c>
    </row>
    <row r="26" spans="1:23" ht="13.5" hidden="1" thickBot="1">
      <c r="B26" s="172" t="s">
        <v>112</v>
      </c>
      <c r="C26" s="173">
        <f>C13+C16</f>
        <v>0</v>
      </c>
      <c r="D26" s="173">
        <f>D13+D16</f>
        <v>0</v>
      </c>
      <c r="E26" s="174">
        <f>D26-C26</f>
        <v>0</v>
      </c>
      <c r="F26" s="175" t="e">
        <f>D26/C26-1</f>
        <v>#DIV/0!</v>
      </c>
      <c r="G26" s="176">
        <f>G13+G16</f>
        <v>0</v>
      </c>
      <c r="H26" s="176">
        <f>H13+H16</f>
        <v>0</v>
      </c>
      <c r="I26" s="177">
        <f>H26-G26</f>
        <v>0</v>
      </c>
      <c r="J26" s="175" t="e">
        <f>H26/G26-1</f>
        <v>#DIV/0!</v>
      </c>
      <c r="K26" s="178" t="e">
        <f t="shared" si="6"/>
        <v>#DIV/0!</v>
      </c>
      <c r="L26" s="178" t="e">
        <f t="shared" si="6"/>
        <v>#DIV/0!</v>
      </c>
      <c r="M26" s="179" t="e">
        <f>L26-K26</f>
        <v>#DIV/0!</v>
      </c>
    </row>
    <row r="27" spans="1:23" ht="13.5" hidden="1" thickBot="1">
      <c r="B27" s="180"/>
      <c r="C27" s="181"/>
      <c r="D27" s="181"/>
      <c r="E27" s="182"/>
      <c r="F27" s="183"/>
      <c r="G27" s="184"/>
      <c r="H27" s="184"/>
      <c r="I27" s="185"/>
      <c r="J27" s="183"/>
      <c r="K27" s="186"/>
      <c r="L27" s="186"/>
      <c r="M27" s="187"/>
    </row>
    <row r="28" spans="1:23" ht="16" thickBot="1">
      <c r="B28" s="494" t="s">
        <v>128</v>
      </c>
      <c r="C28" s="495"/>
      <c r="D28" s="495"/>
      <c r="E28" s="495"/>
      <c r="F28" s="495"/>
      <c r="G28" s="495"/>
      <c r="H28" s="495"/>
      <c r="I28" s="495"/>
      <c r="J28" s="495"/>
      <c r="K28" s="495"/>
      <c r="L28" s="495"/>
      <c r="M28" s="496"/>
      <c r="R28" s="86" t="s">
        <v>127</v>
      </c>
    </row>
    <row r="29" spans="1:23" s="205" customFormat="1" ht="21.75" customHeight="1" thickBot="1">
      <c r="A29" s="219"/>
      <c r="B29" s="213" t="s">
        <v>83</v>
      </c>
      <c r="C29" s="212" t="s">
        <v>85</v>
      </c>
      <c r="D29" s="211" t="s">
        <v>119</v>
      </c>
      <c r="E29" s="211" t="s">
        <v>12</v>
      </c>
      <c r="F29" s="210" t="s">
        <v>86</v>
      </c>
      <c r="G29" s="209" t="s">
        <v>88</v>
      </c>
      <c r="H29" s="208" t="s">
        <v>120</v>
      </c>
      <c r="I29" s="211" t="s">
        <v>12</v>
      </c>
      <c r="J29" s="207" t="s">
        <v>86</v>
      </c>
      <c r="K29" s="206" t="s">
        <v>113</v>
      </c>
      <c r="L29" s="206" t="s">
        <v>121</v>
      </c>
      <c r="M29" s="206" t="s">
        <v>12</v>
      </c>
      <c r="R29" s="220" t="s">
        <v>122</v>
      </c>
      <c r="S29" s="234" t="s">
        <v>116</v>
      </c>
      <c r="T29" s="236" t="s">
        <v>123</v>
      </c>
      <c r="U29" s="242" t="s">
        <v>124</v>
      </c>
      <c r="V29" s="237" t="s">
        <v>117</v>
      </c>
      <c r="W29" s="221" t="s">
        <v>125</v>
      </c>
    </row>
    <row r="30" spans="1:23" ht="13.5" thickBot="1">
      <c r="B30" s="95" t="s">
        <v>90</v>
      </c>
      <c r="C30" s="188"/>
      <c r="D30" s="189"/>
      <c r="E30" s="189">
        <f t="shared" ref="E30:E48" si="7">D30-C30</f>
        <v>0</v>
      </c>
      <c r="F30" s="98" t="e">
        <f t="shared" ref="F30:F49" si="8">D30/C30-1</f>
        <v>#DIV/0!</v>
      </c>
      <c r="G30" s="99"/>
      <c r="H30" s="100"/>
      <c r="I30" s="100">
        <f t="shared" ref="I30:I48" si="9">H30-G30</f>
        <v>0</v>
      </c>
      <c r="J30" s="101" t="e">
        <f t="shared" ref="J30:J49" si="10">H30/G30-1</f>
        <v>#DIV/0!</v>
      </c>
      <c r="K30" s="102" t="e">
        <f t="shared" ref="K30:L49" si="11">G30/G$49</f>
        <v>#DIV/0!</v>
      </c>
      <c r="L30" s="102" t="e">
        <f t="shared" si="11"/>
        <v>#DIV/0!</v>
      </c>
      <c r="M30" s="102" t="e">
        <f t="shared" ref="M30:M49" si="12">L30-K30</f>
        <v>#DIV/0!</v>
      </c>
      <c r="R30" s="225"/>
      <c r="S30" s="231"/>
      <c r="T30" s="232">
        <f>R30+S30</f>
        <v>0</v>
      </c>
      <c r="U30" s="244"/>
      <c r="V30" s="238"/>
      <c r="W30" s="226">
        <f>U30+V30</f>
        <v>0</v>
      </c>
    </row>
    <row r="31" spans="1:23" ht="13.5" thickBot="1">
      <c r="B31" s="437" t="s">
        <v>91</v>
      </c>
      <c r="C31" s="438"/>
      <c r="D31" s="439"/>
      <c r="E31" s="439">
        <f t="shared" si="7"/>
        <v>0</v>
      </c>
      <c r="F31" s="440" t="e">
        <f t="shared" si="8"/>
        <v>#DIV/0!</v>
      </c>
      <c r="G31" s="441"/>
      <c r="H31" s="442"/>
      <c r="I31" s="442">
        <f t="shared" si="9"/>
        <v>0</v>
      </c>
      <c r="J31" s="443" t="e">
        <f t="shared" si="10"/>
        <v>#DIV/0!</v>
      </c>
      <c r="K31" s="444" t="e">
        <f t="shared" si="11"/>
        <v>#DIV/0!</v>
      </c>
      <c r="L31" s="444" t="e">
        <f t="shared" si="11"/>
        <v>#DIV/0!</v>
      </c>
      <c r="M31" s="445" t="e">
        <f t="shared" si="12"/>
        <v>#DIV/0!</v>
      </c>
      <c r="R31" s="223"/>
      <c r="S31" s="222"/>
      <c r="T31" s="232">
        <f>R31+S31</f>
        <v>0</v>
      </c>
      <c r="U31" s="245"/>
      <c r="V31" s="239"/>
      <c r="W31" s="224">
        <f t="shared" ref="W31:W48" si="13">U31+V31</f>
        <v>0</v>
      </c>
    </row>
    <row r="32" spans="1:23">
      <c r="B32" s="113" t="s">
        <v>92</v>
      </c>
      <c r="C32" s="190"/>
      <c r="D32" s="191"/>
      <c r="E32" s="191">
        <f t="shared" si="7"/>
        <v>0</v>
      </c>
      <c r="F32" s="116" t="e">
        <f t="shared" si="8"/>
        <v>#DIV/0!</v>
      </c>
      <c r="G32" s="117"/>
      <c r="H32" s="118"/>
      <c r="I32" s="118">
        <f t="shared" si="9"/>
        <v>0</v>
      </c>
      <c r="J32" s="119" t="e">
        <f t="shared" si="10"/>
        <v>#DIV/0!</v>
      </c>
      <c r="K32" s="138" t="e">
        <f t="shared" si="11"/>
        <v>#DIV/0!</v>
      </c>
      <c r="L32" s="138" t="e">
        <f t="shared" si="11"/>
        <v>#DIV/0!</v>
      </c>
      <c r="M32" s="120" t="e">
        <f t="shared" si="12"/>
        <v>#DIV/0!</v>
      </c>
      <c r="R32" s="223"/>
      <c r="S32" s="222"/>
      <c r="T32" s="232">
        <f>R32+S32</f>
        <v>0</v>
      </c>
      <c r="U32" s="245"/>
      <c r="V32" s="239"/>
      <c r="W32" s="224">
        <f t="shared" si="13"/>
        <v>0</v>
      </c>
    </row>
    <row r="33" spans="2:25">
      <c r="B33" s="121" t="s">
        <v>93</v>
      </c>
      <c r="C33" s="190"/>
      <c r="D33" s="254"/>
      <c r="E33" s="191">
        <f t="shared" si="7"/>
        <v>0</v>
      </c>
      <c r="F33" s="124" t="e">
        <f t="shared" si="8"/>
        <v>#DIV/0!</v>
      </c>
      <c r="G33" s="125"/>
      <c r="H33" s="126"/>
      <c r="I33" s="118">
        <f t="shared" si="9"/>
        <v>0</v>
      </c>
      <c r="J33" s="127" t="e">
        <f t="shared" si="10"/>
        <v>#DIV/0!</v>
      </c>
      <c r="K33" s="102" t="e">
        <f t="shared" si="11"/>
        <v>#DIV/0!</v>
      </c>
      <c r="L33" s="102" t="e">
        <f t="shared" si="11"/>
        <v>#DIV/0!</v>
      </c>
      <c r="M33" s="128" t="e">
        <f t="shared" si="12"/>
        <v>#DIV/0!</v>
      </c>
      <c r="R33" s="223"/>
      <c r="S33" s="222"/>
      <c r="T33" s="232">
        <f>R33+S33</f>
        <v>0</v>
      </c>
      <c r="U33" s="245"/>
      <c r="V33" s="239"/>
      <c r="W33" s="224">
        <f t="shared" si="13"/>
        <v>0</v>
      </c>
    </row>
    <row r="34" spans="2:25">
      <c r="B34" s="121" t="s">
        <v>94</v>
      </c>
      <c r="C34" s="190"/>
      <c r="D34" s="254"/>
      <c r="E34" s="191">
        <f t="shared" si="7"/>
        <v>0</v>
      </c>
      <c r="F34" s="124" t="e">
        <f t="shared" si="8"/>
        <v>#DIV/0!</v>
      </c>
      <c r="G34" s="125"/>
      <c r="H34" s="126"/>
      <c r="I34" s="118">
        <f t="shared" si="9"/>
        <v>0</v>
      </c>
      <c r="J34" s="127" t="e">
        <f t="shared" si="10"/>
        <v>#DIV/0!</v>
      </c>
      <c r="K34" s="102" t="e">
        <f t="shared" si="11"/>
        <v>#DIV/0!</v>
      </c>
      <c r="L34" s="102" t="e">
        <f t="shared" si="11"/>
        <v>#DIV/0!</v>
      </c>
      <c r="M34" s="128" t="e">
        <f t="shared" si="12"/>
        <v>#DIV/0!</v>
      </c>
      <c r="R34" s="223"/>
      <c r="S34" s="222"/>
      <c r="T34" s="232">
        <f t="shared" ref="T34:T46" si="14">R34+S34</f>
        <v>0</v>
      </c>
      <c r="U34" s="245"/>
      <c r="V34" s="239"/>
      <c r="W34" s="224">
        <f t="shared" si="13"/>
        <v>0</v>
      </c>
    </row>
    <row r="35" spans="2:25" ht="13.5" thickBot="1">
      <c r="B35" s="129" t="s">
        <v>95</v>
      </c>
      <c r="C35" s="190"/>
      <c r="D35" s="193"/>
      <c r="E35" s="189">
        <f t="shared" si="7"/>
        <v>0</v>
      </c>
      <c r="F35" s="132" t="e">
        <f t="shared" si="8"/>
        <v>#DIV/0!</v>
      </c>
      <c r="G35" s="133"/>
      <c r="H35" s="134"/>
      <c r="I35" s="100">
        <f t="shared" si="9"/>
        <v>0</v>
      </c>
      <c r="J35" s="135" t="e">
        <f t="shared" si="10"/>
        <v>#DIV/0!</v>
      </c>
      <c r="K35" s="102" t="e">
        <f t="shared" si="11"/>
        <v>#DIV/0!</v>
      </c>
      <c r="L35" s="102" t="e">
        <f t="shared" si="11"/>
        <v>#DIV/0!</v>
      </c>
      <c r="M35" s="102" t="e">
        <f t="shared" si="12"/>
        <v>#DIV/0!</v>
      </c>
      <c r="R35" s="223"/>
      <c r="S35" s="222"/>
      <c r="T35" s="232">
        <f t="shared" si="14"/>
        <v>0</v>
      </c>
      <c r="U35" s="245"/>
      <c r="V35" s="239"/>
      <c r="W35" s="224">
        <f t="shared" si="13"/>
        <v>0</v>
      </c>
    </row>
    <row r="36" spans="2:25" ht="13.5" thickBot="1">
      <c r="B36" s="446" t="s">
        <v>96</v>
      </c>
      <c r="C36" s="438"/>
      <c r="D36" s="439"/>
      <c r="E36" s="439">
        <f t="shared" si="7"/>
        <v>0</v>
      </c>
      <c r="F36" s="440" t="e">
        <f t="shared" si="8"/>
        <v>#DIV/0!</v>
      </c>
      <c r="G36" s="441"/>
      <c r="H36" s="442"/>
      <c r="I36" s="442">
        <f t="shared" si="9"/>
        <v>0</v>
      </c>
      <c r="J36" s="443" t="e">
        <f t="shared" si="10"/>
        <v>#DIV/0!</v>
      </c>
      <c r="K36" s="444" t="e">
        <f t="shared" si="11"/>
        <v>#DIV/0!</v>
      </c>
      <c r="L36" s="444" t="e">
        <f t="shared" si="11"/>
        <v>#DIV/0!</v>
      </c>
      <c r="M36" s="445" t="e">
        <f t="shared" si="12"/>
        <v>#DIV/0!</v>
      </c>
      <c r="R36" s="223"/>
      <c r="S36" s="222"/>
      <c r="T36" s="232">
        <f t="shared" si="14"/>
        <v>0</v>
      </c>
      <c r="U36" s="245"/>
      <c r="V36" s="239"/>
      <c r="W36" s="224">
        <f t="shared" si="13"/>
        <v>0</v>
      </c>
    </row>
    <row r="37" spans="2:25" ht="13.5" thickBot="1">
      <c r="B37" s="137" t="s">
        <v>97</v>
      </c>
      <c r="C37" s="188"/>
      <c r="D37" s="189"/>
      <c r="E37" s="189">
        <f t="shared" si="7"/>
        <v>0</v>
      </c>
      <c r="F37" s="98" t="e">
        <f t="shared" si="8"/>
        <v>#DIV/0!</v>
      </c>
      <c r="G37" s="99"/>
      <c r="H37" s="100"/>
      <c r="I37" s="100">
        <f t="shared" si="9"/>
        <v>0</v>
      </c>
      <c r="J37" s="101" t="e">
        <f t="shared" si="10"/>
        <v>#DIV/0!</v>
      </c>
      <c r="K37" s="138" t="e">
        <f t="shared" si="11"/>
        <v>#DIV/0!</v>
      </c>
      <c r="L37" s="138" t="e">
        <f t="shared" si="11"/>
        <v>#DIV/0!</v>
      </c>
      <c r="M37" s="138" t="e">
        <f t="shared" si="12"/>
        <v>#DIV/0!</v>
      </c>
      <c r="R37" s="223"/>
      <c r="S37" s="222"/>
      <c r="T37" s="232">
        <f t="shared" si="14"/>
        <v>0</v>
      </c>
      <c r="U37" s="245"/>
      <c r="V37" s="239"/>
      <c r="W37" s="224">
        <f t="shared" si="13"/>
        <v>0</v>
      </c>
      <c r="Y37" s="86" t="s">
        <v>127</v>
      </c>
    </row>
    <row r="38" spans="2:25" ht="13.5" thickBot="1">
      <c r="B38" s="446" t="s">
        <v>98</v>
      </c>
      <c r="C38" s="438"/>
      <c r="D38" s="439"/>
      <c r="E38" s="439">
        <f t="shared" si="7"/>
        <v>0</v>
      </c>
      <c r="F38" s="440" t="e">
        <f t="shared" si="8"/>
        <v>#DIV/0!</v>
      </c>
      <c r="G38" s="441"/>
      <c r="H38" s="442"/>
      <c r="I38" s="442">
        <f t="shared" si="9"/>
        <v>0</v>
      </c>
      <c r="J38" s="443" t="e">
        <f>H38/G38-1</f>
        <v>#DIV/0!</v>
      </c>
      <c r="K38" s="444" t="e">
        <f t="shared" si="11"/>
        <v>#DIV/0!</v>
      </c>
      <c r="L38" s="444" t="e">
        <f t="shared" si="11"/>
        <v>#DIV/0!</v>
      </c>
      <c r="M38" s="445" t="e">
        <f>L38-K38</f>
        <v>#DIV/0!</v>
      </c>
      <c r="R38" s="223"/>
      <c r="S38" s="222"/>
      <c r="T38" s="232">
        <f t="shared" si="14"/>
        <v>0</v>
      </c>
      <c r="U38" s="245"/>
      <c r="V38" s="239"/>
      <c r="W38" s="224">
        <f t="shared" si="13"/>
        <v>0</v>
      </c>
    </row>
    <row r="39" spans="2:25">
      <c r="B39" s="113" t="s">
        <v>99</v>
      </c>
      <c r="C39" s="190"/>
      <c r="D39" s="191"/>
      <c r="E39" s="191">
        <f>D39-C39</f>
        <v>0</v>
      </c>
      <c r="F39" s="116" t="e">
        <f t="shared" si="8"/>
        <v>#DIV/0!</v>
      </c>
      <c r="G39" s="117"/>
      <c r="H39" s="118"/>
      <c r="I39" s="118">
        <f t="shared" si="9"/>
        <v>0</v>
      </c>
      <c r="J39" s="119" t="e">
        <f t="shared" si="10"/>
        <v>#DIV/0!</v>
      </c>
      <c r="K39" s="138" t="e">
        <f t="shared" si="11"/>
        <v>#DIV/0!</v>
      </c>
      <c r="L39" s="138" t="e">
        <f t="shared" si="11"/>
        <v>#DIV/0!</v>
      </c>
      <c r="M39" s="120" t="e">
        <f t="shared" si="12"/>
        <v>#DIV/0!</v>
      </c>
      <c r="R39" s="223"/>
      <c r="S39" s="222"/>
      <c r="T39" s="232">
        <f t="shared" si="14"/>
        <v>0</v>
      </c>
      <c r="U39" s="245"/>
      <c r="V39" s="239"/>
      <c r="W39" s="224">
        <f t="shared" si="13"/>
        <v>0</v>
      </c>
    </row>
    <row r="40" spans="2:25" ht="13.5" thickBot="1">
      <c r="B40" s="129" t="s">
        <v>100</v>
      </c>
      <c r="C40" s="192"/>
      <c r="D40" s="193"/>
      <c r="E40" s="189">
        <f>D40-C40</f>
        <v>0</v>
      </c>
      <c r="F40" s="132" t="e">
        <f t="shared" si="8"/>
        <v>#DIV/0!</v>
      </c>
      <c r="G40" s="133"/>
      <c r="H40" s="134"/>
      <c r="I40" s="100">
        <f t="shared" si="9"/>
        <v>0</v>
      </c>
      <c r="J40" s="135" t="e">
        <f t="shared" si="10"/>
        <v>#DIV/0!</v>
      </c>
      <c r="K40" s="102" t="e">
        <f t="shared" si="11"/>
        <v>#DIV/0!</v>
      </c>
      <c r="L40" s="102" t="e">
        <f t="shared" si="11"/>
        <v>#DIV/0!</v>
      </c>
      <c r="M40" s="102" t="e">
        <f t="shared" si="12"/>
        <v>#DIV/0!</v>
      </c>
      <c r="R40" s="266"/>
      <c r="S40" s="267"/>
      <c r="T40" s="268">
        <f t="shared" si="14"/>
        <v>0</v>
      </c>
      <c r="U40" s="269"/>
      <c r="V40" s="270"/>
      <c r="W40" s="271">
        <f>U40+V40</f>
        <v>0</v>
      </c>
    </row>
    <row r="41" spans="2:25" ht="13.5" thickBot="1">
      <c r="B41" s="446" t="s">
        <v>101</v>
      </c>
      <c r="C41" s="438"/>
      <c r="D41" s="439"/>
      <c r="E41" s="439">
        <f t="shared" si="7"/>
        <v>0</v>
      </c>
      <c r="F41" s="440" t="e">
        <f t="shared" si="8"/>
        <v>#DIV/0!</v>
      </c>
      <c r="G41" s="441"/>
      <c r="H41" s="442"/>
      <c r="I41" s="442">
        <f>H41-G41</f>
        <v>0</v>
      </c>
      <c r="J41" s="443" t="e">
        <f t="shared" si="10"/>
        <v>#DIV/0!</v>
      </c>
      <c r="K41" s="444" t="e">
        <f>G41/G$49</f>
        <v>#DIV/0!</v>
      </c>
      <c r="L41" s="444" t="e">
        <f t="shared" si="11"/>
        <v>#DIV/0!</v>
      </c>
      <c r="M41" s="445" t="e">
        <f>L41-K41</f>
        <v>#DIV/0!</v>
      </c>
      <c r="R41" s="250"/>
      <c r="S41" s="233"/>
      <c r="T41" s="253">
        <f>R41+S41</f>
        <v>0</v>
      </c>
      <c r="U41" s="247"/>
      <c r="V41" s="241"/>
      <c r="W41" s="248">
        <f>U41+V41</f>
        <v>0</v>
      </c>
    </row>
    <row r="42" spans="2:25">
      <c r="B42" s="139" t="s">
        <v>102</v>
      </c>
      <c r="C42" s="190"/>
      <c r="D42" s="191"/>
      <c r="E42" s="191">
        <f t="shared" si="7"/>
        <v>0</v>
      </c>
      <c r="F42" s="116" t="e">
        <f t="shared" si="8"/>
        <v>#DIV/0!</v>
      </c>
      <c r="G42" s="117"/>
      <c r="H42" s="118"/>
      <c r="I42" s="118">
        <f t="shared" si="9"/>
        <v>0</v>
      </c>
      <c r="J42" s="119" t="e">
        <f t="shared" si="10"/>
        <v>#DIV/0!</v>
      </c>
      <c r="K42" s="138" t="e">
        <f t="shared" si="11"/>
        <v>#DIV/0!</v>
      </c>
      <c r="L42" s="138" t="e">
        <f t="shared" si="11"/>
        <v>#DIV/0!</v>
      </c>
      <c r="M42" s="120" t="e">
        <f t="shared" si="12"/>
        <v>#DIV/0!</v>
      </c>
      <c r="R42" s="255"/>
      <c r="S42" s="256"/>
      <c r="T42" s="257">
        <f t="shared" si="14"/>
        <v>0</v>
      </c>
      <c r="U42" s="258"/>
      <c r="V42" s="259"/>
      <c r="W42" s="260">
        <f>U42+V42</f>
        <v>0</v>
      </c>
    </row>
    <row r="43" spans="2:25">
      <c r="B43" s="121" t="s">
        <v>103</v>
      </c>
      <c r="C43" s="229"/>
      <c r="D43" s="254"/>
      <c r="E43" s="191">
        <f t="shared" si="7"/>
        <v>0</v>
      </c>
      <c r="F43" s="124" t="e">
        <f t="shared" si="8"/>
        <v>#DIV/0!</v>
      </c>
      <c r="G43" s="125"/>
      <c r="H43" s="126"/>
      <c r="I43" s="118">
        <f t="shared" si="9"/>
        <v>0</v>
      </c>
      <c r="J43" s="127" t="e">
        <f t="shared" si="10"/>
        <v>#DIV/0!</v>
      </c>
      <c r="K43" s="102" t="e">
        <f t="shared" si="11"/>
        <v>#DIV/0!</v>
      </c>
      <c r="L43" s="102" t="e">
        <f t="shared" si="11"/>
        <v>#DIV/0!</v>
      </c>
      <c r="M43" s="128" t="e">
        <f t="shared" si="12"/>
        <v>#DIV/0!</v>
      </c>
      <c r="R43" s="261"/>
      <c r="S43" s="262"/>
      <c r="T43" s="257">
        <f>R43+S43</f>
        <v>0</v>
      </c>
      <c r="U43" s="263"/>
      <c r="V43" s="264"/>
      <c r="W43" s="265">
        <f t="shared" si="13"/>
        <v>0</v>
      </c>
    </row>
    <row r="44" spans="2:25" ht="13.5" thickBot="1">
      <c r="B44" s="140" t="s">
        <v>104</v>
      </c>
      <c r="C44" s="192"/>
      <c r="D44" s="193"/>
      <c r="E44" s="189">
        <f t="shared" si="7"/>
        <v>0</v>
      </c>
      <c r="F44" s="132" t="e">
        <f t="shared" si="8"/>
        <v>#DIV/0!</v>
      </c>
      <c r="G44" s="133"/>
      <c r="H44" s="134"/>
      <c r="I44" s="100">
        <f t="shared" si="9"/>
        <v>0</v>
      </c>
      <c r="J44" s="135" t="e">
        <f t="shared" si="10"/>
        <v>#DIV/0!</v>
      </c>
      <c r="K44" s="102" t="e">
        <f t="shared" si="11"/>
        <v>#DIV/0!</v>
      </c>
      <c r="L44" s="102" t="e">
        <f t="shared" si="11"/>
        <v>#DIV/0!</v>
      </c>
      <c r="M44" s="102" t="e">
        <f t="shared" si="12"/>
        <v>#DIV/0!</v>
      </c>
      <c r="N44" s="86" t="s">
        <v>127</v>
      </c>
      <c r="R44" s="223"/>
      <c r="S44" s="222"/>
      <c r="T44" s="232">
        <f t="shared" si="14"/>
        <v>0</v>
      </c>
      <c r="U44" s="245"/>
      <c r="V44" s="239"/>
      <c r="W44" s="224">
        <f t="shared" si="13"/>
        <v>0</v>
      </c>
    </row>
    <row r="45" spans="2:25" ht="13.5" thickBot="1">
      <c r="B45" s="437" t="s">
        <v>105</v>
      </c>
      <c r="C45" s="438"/>
      <c r="D45" s="439"/>
      <c r="E45" s="439">
        <f t="shared" si="7"/>
        <v>0</v>
      </c>
      <c r="F45" s="440" t="e">
        <f t="shared" si="8"/>
        <v>#DIV/0!</v>
      </c>
      <c r="G45" s="441"/>
      <c r="H45" s="442"/>
      <c r="I45" s="442">
        <f t="shared" si="9"/>
        <v>0</v>
      </c>
      <c r="J45" s="443" t="e">
        <f t="shared" si="10"/>
        <v>#DIV/0!</v>
      </c>
      <c r="K45" s="444" t="e">
        <f t="shared" si="11"/>
        <v>#DIV/0!</v>
      </c>
      <c r="L45" s="444" t="e">
        <f t="shared" si="11"/>
        <v>#DIV/0!</v>
      </c>
      <c r="M45" s="445" t="e">
        <f>L45-K45</f>
        <v>#DIV/0!</v>
      </c>
      <c r="R45" s="223"/>
      <c r="S45" s="222"/>
      <c r="T45" s="232">
        <f t="shared" si="14"/>
        <v>0</v>
      </c>
      <c r="U45" s="245"/>
      <c r="V45" s="239"/>
      <c r="W45" s="224">
        <f t="shared" si="13"/>
        <v>0</v>
      </c>
    </row>
    <row r="46" spans="2:25">
      <c r="B46" s="113" t="s">
        <v>106</v>
      </c>
      <c r="C46" s="190"/>
      <c r="D46" s="191"/>
      <c r="E46" s="191">
        <f t="shared" si="7"/>
        <v>0</v>
      </c>
      <c r="F46" s="116" t="e">
        <f t="shared" si="8"/>
        <v>#DIV/0!</v>
      </c>
      <c r="G46" s="117"/>
      <c r="H46" s="118"/>
      <c r="I46" s="118">
        <f t="shared" si="9"/>
        <v>0</v>
      </c>
      <c r="J46" s="119" t="e">
        <f t="shared" si="10"/>
        <v>#DIV/0!</v>
      </c>
      <c r="K46" s="138" t="e">
        <f t="shared" si="11"/>
        <v>#DIV/0!</v>
      </c>
      <c r="L46" s="138" t="e">
        <f t="shared" si="11"/>
        <v>#DIV/0!</v>
      </c>
      <c r="M46" s="120" t="e">
        <f t="shared" si="12"/>
        <v>#DIV/0!</v>
      </c>
      <c r="R46" s="223"/>
      <c r="S46" s="222"/>
      <c r="T46" s="232">
        <f t="shared" si="14"/>
        <v>0</v>
      </c>
      <c r="U46" s="245"/>
      <c r="V46" s="239"/>
      <c r="W46" s="224">
        <f t="shared" si="13"/>
        <v>0</v>
      </c>
    </row>
    <row r="47" spans="2:25">
      <c r="B47" s="121" t="s">
        <v>107</v>
      </c>
      <c r="C47" s="229"/>
      <c r="D47" s="254"/>
      <c r="E47" s="191">
        <f t="shared" si="7"/>
        <v>0</v>
      </c>
      <c r="F47" s="124" t="e">
        <f t="shared" si="8"/>
        <v>#DIV/0!</v>
      </c>
      <c r="G47" s="125"/>
      <c r="H47" s="126"/>
      <c r="I47" s="118">
        <f t="shared" si="9"/>
        <v>0</v>
      </c>
      <c r="J47" s="127" t="e">
        <f t="shared" si="10"/>
        <v>#DIV/0!</v>
      </c>
      <c r="K47" s="102" t="e">
        <f t="shared" si="11"/>
        <v>#DIV/0!</v>
      </c>
      <c r="L47" s="102" t="e">
        <f t="shared" si="11"/>
        <v>#DIV/0!</v>
      </c>
      <c r="M47" s="128" t="e">
        <f t="shared" si="12"/>
        <v>#DIV/0!</v>
      </c>
      <c r="R47" s="223"/>
      <c r="S47" s="222"/>
      <c r="T47" s="232">
        <f>R47+S47</f>
        <v>0</v>
      </c>
      <c r="U47" s="245"/>
      <c r="V47" s="239"/>
      <c r="W47" s="224">
        <f t="shared" si="13"/>
        <v>0</v>
      </c>
    </row>
    <row r="48" spans="2:25" ht="13.5" thickBot="1">
      <c r="B48" s="129" t="s">
        <v>108</v>
      </c>
      <c r="C48" s="192"/>
      <c r="D48" s="193"/>
      <c r="E48" s="189">
        <f t="shared" si="7"/>
        <v>0</v>
      </c>
      <c r="F48" s="132" t="e">
        <f t="shared" si="8"/>
        <v>#DIV/0!</v>
      </c>
      <c r="G48" s="133"/>
      <c r="H48" s="134"/>
      <c r="I48" s="100">
        <f t="shared" si="9"/>
        <v>0</v>
      </c>
      <c r="J48" s="135" t="e">
        <f t="shared" si="10"/>
        <v>#DIV/0!</v>
      </c>
      <c r="K48" s="102" t="e">
        <f t="shared" si="11"/>
        <v>#DIV/0!</v>
      </c>
      <c r="L48" s="102" t="e">
        <f t="shared" si="11"/>
        <v>#DIV/0!</v>
      </c>
      <c r="M48" s="102" t="e">
        <f t="shared" si="12"/>
        <v>#DIV/0!</v>
      </c>
      <c r="R48" s="227"/>
      <c r="S48" s="230"/>
      <c r="T48" s="232">
        <f>R48+S48</f>
        <v>0</v>
      </c>
      <c r="U48" s="246"/>
      <c r="V48" s="240"/>
      <c r="W48" s="228">
        <f t="shared" si="13"/>
        <v>0</v>
      </c>
    </row>
    <row r="49" spans="1:23" ht="13.5" thickBot="1">
      <c r="A49" s="194">
        <f>SUM(A30:A48)</f>
        <v>0</v>
      </c>
      <c r="B49" s="447" t="s">
        <v>109</v>
      </c>
      <c r="C49" s="448">
        <f>SUM(C30:C48)</f>
        <v>0</v>
      </c>
      <c r="D49" s="448">
        <f>SUM(D30:D48)</f>
        <v>0</v>
      </c>
      <c r="E49" s="448">
        <f>SUM(E30:E48)</f>
        <v>0</v>
      </c>
      <c r="F49" s="449" t="e">
        <f t="shared" si="8"/>
        <v>#DIV/0!</v>
      </c>
      <c r="G49" s="450">
        <f>SUM(G30:G48)</f>
        <v>0</v>
      </c>
      <c r="H49" s="450">
        <f>SUM(H30:H48)</f>
        <v>0</v>
      </c>
      <c r="I49" s="451">
        <f>SUM(I30:I48)</f>
        <v>0</v>
      </c>
      <c r="J49" s="452" t="e">
        <f t="shared" si="10"/>
        <v>#DIV/0!</v>
      </c>
      <c r="K49" s="453" t="e">
        <f t="shared" si="11"/>
        <v>#DIV/0!</v>
      </c>
      <c r="L49" s="453" t="e">
        <f t="shared" si="11"/>
        <v>#DIV/0!</v>
      </c>
      <c r="M49" s="454" t="e">
        <f t="shared" si="12"/>
        <v>#DIV/0!</v>
      </c>
      <c r="R49" s="251">
        <f t="shared" ref="R49:T49" si="15">SUM(R30:R48)</f>
        <v>0</v>
      </c>
      <c r="S49" s="235">
        <f>SUM(S30:S48)</f>
        <v>0</v>
      </c>
      <c r="T49" s="252">
        <f t="shared" si="15"/>
        <v>0</v>
      </c>
      <c r="U49" s="243">
        <f>SUM(U30:U48)</f>
        <v>0</v>
      </c>
      <c r="V49" s="243">
        <f>SUM(V30:V48)</f>
        <v>0</v>
      </c>
      <c r="W49" s="249">
        <f>SUM(W30:W48)</f>
        <v>0</v>
      </c>
    </row>
    <row r="50" spans="1:23" ht="13.5" thickBot="1"/>
    <row r="51" spans="1:23">
      <c r="B51" s="156" t="s">
        <v>110</v>
      </c>
      <c r="C51" s="195">
        <f>C45+C41+C38+C36+C31</f>
        <v>0</v>
      </c>
      <c r="D51" s="195">
        <f>D45+D41+D38+D36+D31</f>
        <v>0</v>
      </c>
      <c r="E51" s="157">
        <f>D51-C51</f>
        <v>0</v>
      </c>
      <c r="F51" s="196" t="e">
        <f>D51/C51-1</f>
        <v>#DIV/0!</v>
      </c>
      <c r="G51" s="160">
        <f>G45+G41+G38+G36+G31</f>
        <v>0</v>
      </c>
      <c r="H51" s="160">
        <f>H45+H41+H38+H36+H31</f>
        <v>0</v>
      </c>
      <c r="I51" s="160">
        <f>H51-G51</f>
        <v>0</v>
      </c>
      <c r="J51" s="196" t="e">
        <f>H51/G51-1</f>
        <v>#DIV/0!</v>
      </c>
      <c r="K51" s="197" t="e">
        <f t="shared" ref="K51:L53" si="16">G51/G$49</f>
        <v>#DIV/0!</v>
      </c>
      <c r="L51" s="197" t="e">
        <f t="shared" si="16"/>
        <v>#DIV/0!</v>
      </c>
      <c r="M51" s="198" t="e">
        <f>L51-K51</f>
        <v>#DIV/0!</v>
      </c>
    </row>
    <row r="52" spans="1:23">
      <c r="B52" s="199" t="s">
        <v>111</v>
      </c>
      <c r="C52" s="200">
        <f>C49-C53</f>
        <v>0</v>
      </c>
      <c r="D52" s="200">
        <f>D49-D53</f>
        <v>0</v>
      </c>
      <c r="E52" s="200">
        <f>D52-C52</f>
        <v>0</v>
      </c>
      <c r="F52" s="201" t="e">
        <f>D52/C52-1</f>
        <v>#DIV/0!</v>
      </c>
      <c r="G52" s="202">
        <f>G49-G53</f>
        <v>0</v>
      </c>
      <c r="H52" s="202">
        <f>H49-H53</f>
        <v>0</v>
      </c>
      <c r="I52" s="202">
        <f>H52-G52</f>
        <v>0</v>
      </c>
      <c r="J52" s="201" t="e">
        <f>H52/G52-1</f>
        <v>#DIV/0!</v>
      </c>
      <c r="K52" s="203" t="e">
        <f t="shared" si="16"/>
        <v>#DIV/0!</v>
      </c>
      <c r="L52" s="203" t="e">
        <f t="shared" si="16"/>
        <v>#DIV/0!</v>
      </c>
      <c r="M52" s="204" t="e">
        <f>L52-K52</f>
        <v>#DIV/0!</v>
      </c>
    </row>
    <row r="53" spans="1:23" ht="13.5" thickBot="1">
      <c r="A53" s="419"/>
      <c r="B53" s="455" t="s">
        <v>112</v>
      </c>
      <c r="C53" s="456">
        <f>C30+C31+C32+C33+C36+C38+C39+C41+C44+C45</f>
        <v>0</v>
      </c>
      <c r="D53" s="456">
        <f>D30+D31+D32+D33+D36+D38+D39+D41+D44+D45</f>
        <v>0</v>
      </c>
      <c r="E53" s="456">
        <f>D53-C53</f>
        <v>0</v>
      </c>
      <c r="F53" s="457" t="e">
        <f>D53/C53-1</f>
        <v>#DIV/0!</v>
      </c>
      <c r="G53" s="458">
        <f>G30+G31+G32+G33+G36+G38+G39+G41+G44+G45</f>
        <v>0</v>
      </c>
      <c r="H53" s="458">
        <f>H30+H31+H32+H33+H36+H38+H39+H41+H44+H45</f>
        <v>0</v>
      </c>
      <c r="I53" s="458">
        <f>H53-G53</f>
        <v>0</v>
      </c>
      <c r="J53" s="457" t="e">
        <f>H53/G53-1</f>
        <v>#DIV/0!</v>
      </c>
      <c r="K53" s="459" t="e">
        <f t="shared" si="16"/>
        <v>#DIV/0!</v>
      </c>
      <c r="L53" s="459" t="e">
        <f t="shared" si="16"/>
        <v>#DIV/0!</v>
      </c>
      <c r="M53" s="460" t="e">
        <f>L53-K53</f>
        <v>#DIV/0!</v>
      </c>
    </row>
  </sheetData>
  <mergeCells count="2">
    <mergeCell ref="B1:M1"/>
    <mergeCell ref="B28:M28"/>
  </mergeCells>
  <conditionalFormatting sqref="E3:E21">
    <cfRule type="cellIs" dxfId="26" priority="5" operator="lessThan">
      <formula>0</formula>
    </cfRule>
  </conditionalFormatting>
  <conditionalFormatting sqref="E24:E27">
    <cfRule type="cellIs" dxfId="25" priority="4" operator="lessThan">
      <formula>0</formula>
    </cfRule>
  </conditionalFormatting>
  <conditionalFormatting sqref="E30:E48">
    <cfRule type="cellIs" dxfId="24" priority="10" operator="lessThan">
      <formula>0</formula>
    </cfRule>
  </conditionalFormatting>
  <conditionalFormatting sqref="E51:F53">
    <cfRule type="cellIs" dxfId="23" priority="1" operator="lessThan">
      <formula>0</formula>
    </cfRule>
  </conditionalFormatting>
  <conditionalFormatting sqref="F3:F27">
    <cfRule type="cellIs" dxfId="22" priority="6" operator="lessThan">
      <formula>0</formula>
    </cfRule>
  </conditionalFormatting>
  <conditionalFormatting sqref="F30:F49">
    <cfRule type="cellIs" dxfId="21" priority="11" operator="lessThan">
      <formula>0</formula>
    </cfRule>
  </conditionalFormatting>
  <conditionalFormatting sqref="I3:J27">
    <cfRule type="cellIs" dxfId="20" priority="7" operator="lessThan">
      <formula>0</formula>
    </cfRule>
  </conditionalFormatting>
  <conditionalFormatting sqref="I30:J49">
    <cfRule type="cellIs" dxfId="19" priority="9" operator="lessThan">
      <formula>0</formula>
    </cfRule>
  </conditionalFormatting>
  <conditionalFormatting sqref="I51:J52 J53">
    <cfRule type="cellIs" dxfId="18" priority="2" operator="lessThan">
      <formula>0</formula>
    </cfRule>
  </conditionalFormatting>
  <conditionalFormatting sqref="M3:M27">
    <cfRule type="cellIs" dxfId="17" priority="12" operator="lessThan">
      <formula>0</formula>
    </cfRule>
  </conditionalFormatting>
  <conditionalFormatting sqref="M30:M49">
    <cfRule type="cellIs" dxfId="16" priority="8" operator="lessThan">
      <formula>0</formula>
    </cfRule>
  </conditionalFormatting>
  <conditionalFormatting sqref="M51:M53">
    <cfRule type="cellIs" dxfId="15" priority="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956C9-BA21-4BAA-A53D-36B3310CA653}">
  <sheetPr codeName="traffic">
    <tabColor theme="3" tint="0.59999389629810485"/>
  </sheetPr>
  <dimension ref="A1:N67"/>
  <sheetViews>
    <sheetView showOutlineSymbols="0" showWhiteSpace="0" topLeftCell="A43" workbookViewId="0">
      <selection activeCell="B56" sqref="B56:L56"/>
    </sheetView>
  </sheetViews>
  <sheetFormatPr defaultColWidth="10.26953125" defaultRowHeight="12"/>
  <cols>
    <col min="1" max="1" width="8.54296875" style="38" bestFit="1" customWidth="1"/>
    <col min="2" max="2" width="27.453125" style="38" bestFit="1" customWidth="1"/>
    <col min="3" max="3" width="6.54296875" style="66" bestFit="1" customWidth="1"/>
    <col min="4" max="4" width="6.1796875" style="66" customWidth="1"/>
    <col min="5" max="5" width="11.1796875" style="38" bestFit="1" customWidth="1"/>
    <col min="6" max="7" width="13.26953125" style="38" bestFit="1" customWidth="1"/>
    <col min="8" max="8" width="10.81640625" style="38" bestFit="1" customWidth="1"/>
    <col min="9" max="10" width="7.1796875" style="38" bestFit="1" customWidth="1"/>
    <col min="11" max="11" width="9.26953125" style="66" bestFit="1" customWidth="1"/>
    <col min="12" max="12" width="12.453125" style="66" customWidth="1"/>
    <col min="13" max="13" width="9.7265625" style="66" customWidth="1"/>
    <col min="14" max="16384" width="10.26953125" style="38"/>
  </cols>
  <sheetData>
    <row r="1" spans="1:14" ht="14.25" hidden="1" customHeight="1" thickBot="1">
      <c r="A1" s="37"/>
      <c r="B1" s="501" t="s">
        <v>56</v>
      </c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38"/>
    </row>
    <row r="2" spans="1:14" ht="12" hidden="1" customHeight="1">
      <c r="A2" s="39"/>
      <c r="B2" s="39"/>
      <c r="C2" s="497" t="s">
        <v>57</v>
      </c>
      <c r="D2" s="498"/>
      <c r="E2" s="498"/>
      <c r="F2" s="498" t="s">
        <v>58</v>
      </c>
      <c r="G2" s="498"/>
      <c r="H2" s="498"/>
      <c r="I2" s="498" t="s">
        <v>59</v>
      </c>
      <c r="J2" s="498"/>
      <c r="K2" s="498"/>
      <c r="L2" s="499" t="s">
        <v>60</v>
      </c>
      <c r="M2" s="38"/>
    </row>
    <row r="3" spans="1:14" ht="12.5" hidden="1" thickBot="1">
      <c r="A3" s="40" t="s">
        <v>61</v>
      </c>
      <c r="B3" s="40" t="s">
        <v>62</v>
      </c>
      <c r="C3" s="41">
        <v>2023</v>
      </c>
      <c r="D3" s="42">
        <v>2024</v>
      </c>
      <c r="E3" s="42" t="s">
        <v>63</v>
      </c>
      <c r="F3" s="41">
        <v>2023</v>
      </c>
      <c r="G3" s="42">
        <v>2024</v>
      </c>
      <c r="H3" s="42" t="s">
        <v>63</v>
      </c>
      <c r="I3" s="41">
        <v>2023</v>
      </c>
      <c r="J3" s="42">
        <v>2024</v>
      </c>
      <c r="K3" s="42" t="s">
        <v>63</v>
      </c>
      <c r="L3" s="500"/>
      <c r="M3" s="38"/>
    </row>
    <row r="4" spans="1:14" hidden="1">
      <c r="A4" s="37" t="s">
        <v>64</v>
      </c>
      <c r="B4" s="37" t="s">
        <v>65</v>
      </c>
      <c r="C4" s="43">
        <v>885</v>
      </c>
      <c r="D4" s="44">
        <v>851</v>
      </c>
      <c r="E4" s="45">
        <f t="shared" ref="E4:E12" si="0">D4/C4-1</f>
        <v>-3.8418079096045221E-2</v>
      </c>
      <c r="F4" s="46">
        <v>20106950</v>
      </c>
      <c r="G4" s="47">
        <v>17133870</v>
      </c>
      <c r="H4" s="45">
        <f t="shared" ref="H4:H12" si="1">G4/F4-1</f>
        <v>-0.14786330099791367</v>
      </c>
      <c r="I4" s="43">
        <v>16.38</v>
      </c>
      <c r="J4" s="44">
        <v>17.68</v>
      </c>
      <c r="K4" s="48">
        <f t="shared" ref="K4:K12" si="2">J4-I4</f>
        <v>1.3000000000000007</v>
      </c>
      <c r="L4" s="49">
        <f t="shared" ref="L4:L12" si="3">H4-E4</f>
        <v>-0.10944522190186845</v>
      </c>
      <c r="M4" s="38"/>
    </row>
    <row r="5" spans="1:14" hidden="1">
      <c r="A5" s="37" t="s">
        <v>66</v>
      </c>
      <c r="B5" s="37" t="s">
        <v>67</v>
      </c>
      <c r="C5" s="43">
        <v>383</v>
      </c>
      <c r="D5" s="44">
        <v>332</v>
      </c>
      <c r="E5" s="45">
        <f t="shared" si="0"/>
        <v>-0.13315926892950392</v>
      </c>
      <c r="F5" s="46">
        <v>10671235</v>
      </c>
      <c r="G5" s="47">
        <v>11619400</v>
      </c>
      <c r="H5" s="45">
        <f t="shared" si="1"/>
        <v>8.8852414926669621E-2</v>
      </c>
      <c r="I5" s="43">
        <v>23.24</v>
      </c>
      <c r="J5" s="44">
        <v>30.86</v>
      </c>
      <c r="K5" s="48">
        <f t="shared" si="2"/>
        <v>7.620000000000001</v>
      </c>
      <c r="L5" s="49">
        <f t="shared" si="3"/>
        <v>0.22201168385617354</v>
      </c>
      <c r="M5" s="38"/>
    </row>
    <row r="6" spans="1:14" hidden="1">
      <c r="A6" s="37" t="s">
        <v>68</v>
      </c>
      <c r="B6" s="37" t="s">
        <v>69</v>
      </c>
      <c r="C6" s="43">
        <v>392</v>
      </c>
      <c r="D6" s="44">
        <v>150</v>
      </c>
      <c r="E6" s="45">
        <f t="shared" si="0"/>
        <v>-0.61734693877551017</v>
      </c>
      <c r="F6" s="46">
        <v>6530800</v>
      </c>
      <c r="G6" s="47">
        <v>7725547</v>
      </c>
      <c r="H6" s="45">
        <f t="shared" si="1"/>
        <v>0.18294037483922332</v>
      </c>
      <c r="I6" s="43">
        <v>17.86</v>
      </c>
      <c r="J6" s="44">
        <v>52.24</v>
      </c>
      <c r="K6" s="48">
        <f t="shared" si="2"/>
        <v>34.380000000000003</v>
      </c>
      <c r="L6" s="49">
        <f t="shared" si="3"/>
        <v>0.80028731361473349</v>
      </c>
      <c r="M6" s="38"/>
    </row>
    <row r="7" spans="1:14" hidden="1">
      <c r="A7" s="37" t="s">
        <v>70</v>
      </c>
      <c r="B7" s="37" t="s">
        <v>71</v>
      </c>
      <c r="C7" s="43">
        <v>384</v>
      </c>
      <c r="D7" s="44">
        <v>336</v>
      </c>
      <c r="E7" s="45">
        <f t="shared" si="0"/>
        <v>-0.125</v>
      </c>
      <c r="F7" s="46">
        <v>7524800</v>
      </c>
      <c r="G7" s="47">
        <v>7133430</v>
      </c>
      <c r="H7" s="45">
        <f t="shared" si="1"/>
        <v>-5.2010684669359986E-2</v>
      </c>
      <c r="I7" s="43">
        <v>13.54</v>
      </c>
      <c r="J7" s="44">
        <v>13.85</v>
      </c>
      <c r="K7" s="48">
        <f t="shared" si="2"/>
        <v>0.3100000000000005</v>
      </c>
      <c r="L7" s="49">
        <f t="shared" si="3"/>
        <v>7.2989315330640014E-2</v>
      </c>
      <c r="M7" s="38"/>
    </row>
    <row r="8" spans="1:14" hidden="1">
      <c r="A8" s="37" t="s">
        <v>72</v>
      </c>
      <c r="B8" s="37" t="s">
        <v>73</v>
      </c>
      <c r="C8" s="43">
        <v>511</v>
      </c>
      <c r="D8" s="44">
        <v>259</v>
      </c>
      <c r="E8" s="45">
        <f t="shared" si="0"/>
        <v>-0.49315068493150682</v>
      </c>
      <c r="F8" s="46">
        <v>9376600</v>
      </c>
      <c r="G8" s="47">
        <v>6860410</v>
      </c>
      <c r="H8" s="45">
        <f t="shared" si="1"/>
        <v>-0.26834780197512953</v>
      </c>
      <c r="I8" s="43">
        <v>12.13</v>
      </c>
      <c r="J8" s="44">
        <v>25.81</v>
      </c>
      <c r="K8" s="48">
        <f t="shared" si="2"/>
        <v>13.679999999999998</v>
      </c>
      <c r="L8" s="49">
        <f t="shared" si="3"/>
        <v>0.22480288295637729</v>
      </c>
      <c r="M8" s="38"/>
    </row>
    <row r="9" spans="1:14" hidden="1">
      <c r="A9" s="50" t="s">
        <v>74</v>
      </c>
      <c r="B9" s="50" t="s">
        <v>75</v>
      </c>
      <c r="C9" s="51">
        <v>544</v>
      </c>
      <c r="D9" s="52">
        <v>319</v>
      </c>
      <c r="E9" s="53">
        <f t="shared" si="0"/>
        <v>-0.41360294117647056</v>
      </c>
      <c r="F9" s="54">
        <v>11151300</v>
      </c>
      <c r="G9" s="55">
        <v>6366150</v>
      </c>
      <c r="H9" s="53">
        <f t="shared" si="1"/>
        <v>-0.42911140405154558</v>
      </c>
      <c r="I9" s="51">
        <v>22.06</v>
      </c>
      <c r="J9" s="52">
        <v>15</v>
      </c>
      <c r="K9" s="56">
        <f t="shared" si="2"/>
        <v>-7.0599999999999987</v>
      </c>
      <c r="L9" s="57">
        <f t="shared" si="3"/>
        <v>-1.5508462875075013E-2</v>
      </c>
      <c r="M9" s="38"/>
    </row>
    <row r="10" spans="1:14" hidden="1">
      <c r="A10" s="37" t="s">
        <v>76</v>
      </c>
      <c r="B10" s="37" t="s">
        <v>77</v>
      </c>
      <c r="C10" s="43">
        <v>326</v>
      </c>
      <c r="D10" s="44">
        <v>262</v>
      </c>
      <c r="E10" s="45">
        <f t="shared" si="0"/>
        <v>-0.19631901840490795</v>
      </c>
      <c r="F10" s="46">
        <v>9416450</v>
      </c>
      <c r="G10" s="47">
        <v>6255640</v>
      </c>
      <c r="H10" s="45">
        <f t="shared" si="1"/>
        <v>-0.33566896229470766</v>
      </c>
      <c r="I10" s="43">
        <v>22.09</v>
      </c>
      <c r="J10" s="44">
        <v>28.77</v>
      </c>
      <c r="K10" s="48">
        <f t="shared" si="2"/>
        <v>6.68</v>
      </c>
      <c r="L10" s="49">
        <f t="shared" si="3"/>
        <v>-0.13934994388979971</v>
      </c>
      <c r="M10" s="38"/>
    </row>
    <row r="11" spans="1:14" ht="12.5" hidden="1" thickBot="1">
      <c r="A11" s="50" t="s">
        <v>78</v>
      </c>
      <c r="B11" s="50" t="s">
        <v>79</v>
      </c>
      <c r="C11" s="51">
        <v>829</v>
      </c>
      <c r="D11" s="52">
        <v>504</v>
      </c>
      <c r="E11" s="53">
        <f t="shared" si="0"/>
        <v>-0.39203860072376362</v>
      </c>
      <c r="F11" s="54">
        <v>11620560</v>
      </c>
      <c r="G11" s="55">
        <v>7969120</v>
      </c>
      <c r="H11" s="53">
        <f t="shared" si="1"/>
        <v>-0.31422237826748456</v>
      </c>
      <c r="I11" s="51">
        <v>17.73</v>
      </c>
      <c r="J11" s="52">
        <v>22.77</v>
      </c>
      <c r="K11" s="56">
        <f t="shared" si="2"/>
        <v>5.0399999999999991</v>
      </c>
      <c r="L11" s="57">
        <f t="shared" si="3"/>
        <v>7.7816222456279061E-2</v>
      </c>
      <c r="M11" s="38"/>
    </row>
    <row r="12" spans="1:14" ht="12.5" hidden="1" thickBot="1">
      <c r="A12" s="37"/>
      <c r="B12" s="37"/>
      <c r="C12" s="58">
        <f>SUM(C4:C11)</f>
        <v>4254</v>
      </c>
      <c r="D12" s="59">
        <f>SUM(D4:D11)</f>
        <v>3013</v>
      </c>
      <c r="E12" s="60">
        <f t="shared" si="0"/>
        <v>-0.29172543488481428</v>
      </c>
      <c r="F12" s="61">
        <f>SUM(F4:F11)</f>
        <v>86398695</v>
      </c>
      <c r="G12" s="61">
        <f>SUM(G4:G11)</f>
        <v>71063567</v>
      </c>
      <c r="H12" s="62">
        <f t="shared" si="1"/>
        <v>-0.177492588285043</v>
      </c>
      <c r="I12" s="63">
        <f>AVERAGE(I4:I11)</f>
        <v>18.12875</v>
      </c>
      <c r="J12" s="64">
        <f>AVERAGE(J4:J11)</f>
        <v>25.872500000000002</v>
      </c>
      <c r="K12" s="64">
        <f t="shared" si="2"/>
        <v>7.7437500000000021</v>
      </c>
      <c r="L12" s="65">
        <f t="shared" si="3"/>
        <v>0.11423284659977129</v>
      </c>
      <c r="N12" s="67"/>
    </row>
    <row r="13" spans="1:14" hidden="1">
      <c r="A13" s="37"/>
      <c r="B13" s="37"/>
      <c r="C13" s="44"/>
      <c r="D13" s="44"/>
      <c r="E13" s="37"/>
      <c r="F13" s="37"/>
      <c r="G13" s="37"/>
      <c r="H13" s="37"/>
      <c r="I13" s="37"/>
      <c r="J13" s="37"/>
      <c r="K13" s="44"/>
      <c r="L13" s="44"/>
    </row>
    <row r="14" spans="1:14" ht="12" hidden="1" customHeight="1">
      <c r="A14" s="37"/>
      <c r="B14" s="37"/>
      <c r="C14" s="44"/>
      <c r="D14" s="44"/>
      <c r="E14" s="37"/>
      <c r="F14" s="37"/>
      <c r="G14" s="37"/>
      <c r="H14" s="37"/>
      <c r="I14" s="37"/>
      <c r="J14" s="37"/>
      <c r="K14" s="44"/>
      <c r="L14" s="44"/>
    </row>
    <row r="15" spans="1:14" ht="16" hidden="1" thickBot="1">
      <c r="A15" s="37"/>
      <c r="B15" s="501" t="s">
        <v>80</v>
      </c>
      <c r="C15" s="501"/>
      <c r="D15" s="501"/>
      <c r="E15" s="501"/>
      <c r="F15" s="501"/>
      <c r="G15" s="501"/>
      <c r="H15" s="501"/>
      <c r="I15" s="501"/>
      <c r="J15" s="501"/>
      <c r="K15" s="501"/>
      <c r="L15" s="501"/>
    </row>
    <row r="16" spans="1:14" ht="12" hidden="1" customHeight="1">
      <c r="A16" s="37"/>
      <c r="B16" s="39"/>
      <c r="C16" s="497" t="s">
        <v>57</v>
      </c>
      <c r="D16" s="498"/>
      <c r="E16" s="498"/>
      <c r="F16" s="498" t="s">
        <v>58</v>
      </c>
      <c r="G16" s="498"/>
      <c r="H16" s="498"/>
      <c r="I16" s="498" t="s">
        <v>59</v>
      </c>
      <c r="J16" s="498"/>
      <c r="K16" s="498"/>
      <c r="L16" s="499" t="s">
        <v>60</v>
      </c>
    </row>
    <row r="17" spans="1:12" ht="12.5" hidden="1" thickBot="1">
      <c r="A17" s="37"/>
      <c r="B17" s="40" t="s">
        <v>62</v>
      </c>
      <c r="C17" s="41">
        <v>2023</v>
      </c>
      <c r="D17" s="42">
        <v>2024</v>
      </c>
      <c r="E17" s="42" t="s">
        <v>63</v>
      </c>
      <c r="F17" s="41">
        <v>2023</v>
      </c>
      <c r="G17" s="42">
        <v>2024</v>
      </c>
      <c r="H17" s="42" t="s">
        <v>63</v>
      </c>
      <c r="I17" s="41">
        <v>2023</v>
      </c>
      <c r="J17" s="42">
        <v>2024</v>
      </c>
      <c r="K17" s="42" t="s">
        <v>63</v>
      </c>
      <c r="L17" s="500"/>
    </row>
    <row r="18" spans="1:12" hidden="1">
      <c r="A18" s="37"/>
      <c r="B18" s="37" t="s">
        <v>65</v>
      </c>
      <c r="C18" s="43">
        <v>1521</v>
      </c>
      <c r="D18" s="44">
        <v>1427</v>
      </c>
      <c r="E18" s="45">
        <f t="shared" ref="E18:E26" si="4">D18/C18-1</f>
        <v>-6.1801446416831052E-2</v>
      </c>
      <c r="F18" s="46">
        <v>33449700</v>
      </c>
      <c r="G18" s="47">
        <v>33409410</v>
      </c>
      <c r="H18" s="45">
        <f t="shared" ref="H18:H26" si="5">G18/F18-1</f>
        <v>-1.204495107579473E-3</v>
      </c>
      <c r="I18" s="43">
        <v>16.899999999999999</v>
      </c>
      <c r="J18" s="44">
        <v>20.6</v>
      </c>
      <c r="K18" s="48">
        <f t="shared" ref="K18:K26" si="6">J18-I18</f>
        <v>3.7000000000000028</v>
      </c>
      <c r="L18" s="49">
        <f t="shared" ref="L18:L26" si="7">H18-E18</f>
        <v>6.0596951309251579E-2</v>
      </c>
    </row>
    <row r="19" spans="1:12" hidden="1">
      <c r="A19" s="37"/>
      <c r="B19" s="37" t="s">
        <v>67</v>
      </c>
      <c r="C19" s="43">
        <v>596</v>
      </c>
      <c r="D19" s="44">
        <v>471</v>
      </c>
      <c r="E19" s="45">
        <f t="shared" si="4"/>
        <v>-0.20973154362416102</v>
      </c>
      <c r="F19" s="46">
        <v>20931210</v>
      </c>
      <c r="G19" s="47">
        <v>15359800</v>
      </c>
      <c r="H19" s="45">
        <f t="shared" si="5"/>
        <v>-0.26617715841559086</v>
      </c>
      <c r="I19" s="43">
        <v>27.68</v>
      </c>
      <c r="J19" s="44">
        <v>30.79</v>
      </c>
      <c r="K19" s="48">
        <f t="shared" si="6"/>
        <v>3.1099999999999994</v>
      </c>
      <c r="L19" s="49">
        <f t="shared" si="7"/>
        <v>-5.6445614791429843E-2</v>
      </c>
    </row>
    <row r="20" spans="1:12" hidden="1">
      <c r="A20" s="37"/>
      <c r="B20" s="37" t="s">
        <v>69</v>
      </c>
      <c r="C20" s="43">
        <v>646</v>
      </c>
      <c r="D20" s="44">
        <v>299</v>
      </c>
      <c r="E20" s="45">
        <f t="shared" si="4"/>
        <v>-0.53715170278637769</v>
      </c>
      <c r="F20" s="46">
        <v>15703800</v>
      </c>
      <c r="G20" s="47">
        <v>12287300</v>
      </c>
      <c r="H20" s="45">
        <f t="shared" si="5"/>
        <v>-0.2175588074224073</v>
      </c>
      <c r="I20" s="43">
        <v>19.97</v>
      </c>
      <c r="J20" s="44">
        <v>40.47</v>
      </c>
      <c r="K20" s="48">
        <f t="shared" si="6"/>
        <v>20.5</v>
      </c>
      <c r="L20" s="49">
        <f t="shared" si="7"/>
        <v>0.3195928953639704</v>
      </c>
    </row>
    <row r="21" spans="1:12" hidden="1">
      <c r="A21" s="37"/>
      <c r="B21" s="37" t="s">
        <v>71</v>
      </c>
      <c r="C21" s="43">
        <v>648</v>
      </c>
      <c r="D21" s="44">
        <v>531</v>
      </c>
      <c r="E21" s="45">
        <f t="shared" si="4"/>
        <v>-0.18055555555555558</v>
      </c>
      <c r="F21" s="46">
        <v>12784400</v>
      </c>
      <c r="G21" s="47">
        <v>12367070</v>
      </c>
      <c r="H21" s="45">
        <f t="shared" si="5"/>
        <v>-3.2643690748099252E-2</v>
      </c>
      <c r="I21" s="43">
        <v>11.42</v>
      </c>
      <c r="J21" s="44">
        <v>18.64</v>
      </c>
      <c r="K21" s="48">
        <f t="shared" si="6"/>
        <v>7.2200000000000006</v>
      </c>
      <c r="L21" s="49">
        <f t="shared" si="7"/>
        <v>0.14791186480745633</v>
      </c>
    </row>
    <row r="22" spans="1:12" hidden="1">
      <c r="A22" s="37"/>
      <c r="B22" s="37" t="s">
        <v>73</v>
      </c>
      <c r="C22" s="43">
        <v>706</v>
      </c>
      <c r="D22" s="44">
        <v>594</v>
      </c>
      <c r="E22" s="45">
        <f t="shared" si="4"/>
        <v>-0.15864022662889521</v>
      </c>
      <c r="F22" s="46">
        <v>13263760</v>
      </c>
      <c r="G22" s="47">
        <v>15486590</v>
      </c>
      <c r="H22" s="45">
        <f t="shared" si="5"/>
        <v>0.16758671749187259</v>
      </c>
      <c r="I22" s="43">
        <v>14.31</v>
      </c>
      <c r="J22" s="44">
        <v>24.41</v>
      </c>
      <c r="K22" s="48">
        <f t="shared" si="6"/>
        <v>10.1</v>
      </c>
      <c r="L22" s="49">
        <f t="shared" si="7"/>
        <v>0.3262269441207678</v>
      </c>
    </row>
    <row r="23" spans="1:12" hidden="1">
      <c r="A23" s="37"/>
      <c r="B23" s="50" t="s">
        <v>75</v>
      </c>
      <c r="C23" s="51">
        <v>900</v>
      </c>
      <c r="D23" s="52">
        <v>526</v>
      </c>
      <c r="E23" s="53">
        <f t="shared" si="4"/>
        <v>-0.41555555555555557</v>
      </c>
      <c r="F23" s="54">
        <v>17590620</v>
      </c>
      <c r="G23" s="55">
        <v>11624950</v>
      </c>
      <c r="H23" s="53">
        <f t="shared" si="5"/>
        <v>-0.33913926854198428</v>
      </c>
      <c r="I23" s="51">
        <v>24.89</v>
      </c>
      <c r="J23" s="52">
        <v>15.59</v>
      </c>
      <c r="K23" s="56">
        <f t="shared" si="6"/>
        <v>-9.3000000000000007</v>
      </c>
      <c r="L23" s="57">
        <f t="shared" si="7"/>
        <v>7.6416287013571282E-2</v>
      </c>
    </row>
    <row r="24" spans="1:12" hidden="1">
      <c r="A24" s="37"/>
      <c r="B24" s="37" t="s">
        <v>77</v>
      </c>
      <c r="C24" s="43">
        <v>528</v>
      </c>
      <c r="D24" s="44">
        <v>563</v>
      </c>
      <c r="E24" s="45">
        <f t="shared" si="4"/>
        <v>6.6287878787878896E-2</v>
      </c>
      <c r="F24" s="46">
        <v>13336650</v>
      </c>
      <c r="G24" s="47">
        <v>18042630</v>
      </c>
      <c r="H24" s="45">
        <f t="shared" si="5"/>
        <v>0.35286072589443385</v>
      </c>
      <c r="I24" s="43">
        <v>21.21</v>
      </c>
      <c r="J24" s="44">
        <v>24.87</v>
      </c>
      <c r="K24" s="48">
        <f t="shared" si="6"/>
        <v>3.66</v>
      </c>
      <c r="L24" s="49">
        <f t="shared" si="7"/>
        <v>0.28657284710655495</v>
      </c>
    </row>
    <row r="25" spans="1:12" ht="12.5" hidden="1" thickBot="1">
      <c r="A25" s="37"/>
      <c r="B25" s="50" t="s">
        <v>79</v>
      </c>
      <c r="C25" s="51">
        <v>1870</v>
      </c>
      <c r="D25" s="52">
        <v>868</v>
      </c>
      <c r="E25" s="53">
        <f t="shared" si="4"/>
        <v>-0.53582887700534765</v>
      </c>
      <c r="F25" s="54">
        <v>29932670</v>
      </c>
      <c r="G25" s="55">
        <v>16420810</v>
      </c>
      <c r="H25" s="53">
        <f t="shared" si="5"/>
        <v>-0.4514084443519405</v>
      </c>
      <c r="I25" s="51">
        <v>19.68</v>
      </c>
      <c r="J25" s="52">
        <v>16.47</v>
      </c>
      <c r="K25" s="56">
        <f t="shared" si="6"/>
        <v>-3.2100000000000009</v>
      </c>
      <c r="L25" s="57">
        <f t="shared" si="7"/>
        <v>8.4420432653407151E-2</v>
      </c>
    </row>
    <row r="26" spans="1:12" ht="12.5" hidden="1" thickBot="1">
      <c r="A26" s="37"/>
      <c r="B26" s="37"/>
      <c r="C26" s="58">
        <f>SUM(C18:C25)</f>
        <v>7415</v>
      </c>
      <c r="D26" s="59">
        <f>SUM(D18:D25)</f>
        <v>5279</v>
      </c>
      <c r="E26" s="60">
        <f t="shared" si="4"/>
        <v>-0.28806473364801077</v>
      </c>
      <c r="F26" s="61">
        <f>SUM(F18:F25)</f>
        <v>156992810</v>
      </c>
      <c r="G26" s="61">
        <f>SUM(G18:G25)</f>
        <v>134998560</v>
      </c>
      <c r="H26" s="62">
        <f t="shared" si="5"/>
        <v>-0.14009718024666229</v>
      </c>
      <c r="I26" s="63">
        <f>AVERAGE(I18:I25)</f>
        <v>19.5075</v>
      </c>
      <c r="J26" s="64">
        <f>AVERAGE(J18:J25)</f>
        <v>23.98</v>
      </c>
      <c r="K26" s="64">
        <f t="shared" si="6"/>
        <v>4.4725000000000001</v>
      </c>
      <c r="L26" s="65">
        <f t="shared" si="7"/>
        <v>0.14796755340134848</v>
      </c>
    </row>
    <row r="27" spans="1:12" ht="12" hidden="1" customHeight="1">
      <c r="A27" s="37"/>
      <c r="B27" s="37"/>
      <c r="C27" s="44"/>
      <c r="D27" s="44"/>
      <c r="E27" s="37"/>
      <c r="F27" s="37"/>
      <c r="G27" s="37"/>
      <c r="H27" s="37"/>
      <c r="I27" s="37"/>
      <c r="J27" s="37"/>
      <c r="K27" s="44"/>
      <c r="L27" s="44"/>
    </row>
    <row r="28" spans="1:12" hidden="1">
      <c r="A28" s="37"/>
      <c r="B28" s="37"/>
      <c r="C28" s="44"/>
      <c r="D28" s="44"/>
      <c r="E28" s="37"/>
      <c r="F28" s="37"/>
      <c r="G28" s="37"/>
      <c r="H28" s="37"/>
      <c r="I28" s="37"/>
      <c r="J28" s="37"/>
      <c r="K28" s="44"/>
      <c r="L28" s="44"/>
    </row>
    <row r="29" spans="1:12" ht="16" hidden="1" thickBot="1">
      <c r="A29" s="37"/>
      <c r="B29" s="501" t="s">
        <v>81</v>
      </c>
      <c r="C29" s="501"/>
      <c r="D29" s="501"/>
      <c r="E29" s="501"/>
      <c r="F29" s="501"/>
      <c r="G29" s="501"/>
      <c r="H29" s="501"/>
      <c r="I29" s="501"/>
      <c r="J29" s="501"/>
      <c r="K29" s="501"/>
      <c r="L29" s="501"/>
    </row>
    <row r="30" spans="1:12" ht="12" hidden="1" customHeight="1">
      <c r="A30" s="39"/>
      <c r="B30" s="39"/>
      <c r="C30" s="497" t="s">
        <v>57</v>
      </c>
      <c r="D30" s="498"/>
      <c r="E30" s="498"/>
      <c r="F30" s="498" t="s">
        <v>58</v>
      </c>
      <c r="G30" s="498"/>
      <c r="H30" s="498"/>
      <c r="I30" s="498" t="s">
        <v>59</v>
      </c>
      <c r="J30" s="498"/>
      <c r="K30" s="498"/>
      <c r="L30" s="499" t="s">
        <v>60</v>
      </c>
    </row>
    <row r="31" spans="1:12" ht="12.5" hidden="1" thickBot="1">
      <c r="A31" s="40" t="s">
        <v>61</v>
      </c>
      <c r="B31" s="40" t="s">
        <v>62</v>
      </c>
      <c r="C31" s="41">
        <v>2023</v>
      </c>
      <c r="D31" s="42">
        <v>2024</v>
      </c>
      <c r="E31" s="42" t="s">
        <v>63</v>
      </c>
      <c r="F31" s="41">
        <v>2023</v>
      </c>
      <c r="G31" s="42">
        <v>2024</v>
      </c>
      <c r="H31" s="42" t="s">
        <v>63</v>
      </c>
      <c r="I31" s="41">
        <v>2023</v>
      </c>
      <c r="J31" s="42">
        <v>2024</v>
      </c>
      <c r="K31" s="42" t="s">
        <v>63</v>
      </c>
      <c r="L31" s="500"/>
    </row>
    <row r="32" spans="1:12" hidden="1">
      <c r="A32" s="37" t="s">
        <v>64</v>
      </c>
      <c r="B32" s="37" t="s">
        <v>65</v>
      </c>
      <c r="C32" s="43">
        <v>1712</v>
      </c>
      <c r="D32" s="44">
        <v>1532</v>
      </c>
      <c r="E32" s="45">
        <f t="shared" ref="E32:E40" si="8">D32/C32-1</f>
        <v>-0.10514018691588789</v>
      </c>
      <c r="F32" s="46">
        <v>41263410</v>
      </c>
      <c r="G32" s="47">
        <v>40637630</v>
      </c>
      <c r="H32" s="45">
        <f t="shared" ref="H32:H40" si="9">G32/F32-1</f>
        <v>-1.5165494078167585E-2</v>
      </c>
      <c r="I32" s="43">
        <v>19.98</v>
      </c>
      <c r="J32" s="44">
        <v>18.600000000000001</v>
      </c>
      <c r="K32" s="48">
        <f t="shared" ref="K32:K40" si="10">J32-I32</f>
        <v>-1.379999999999999</v>
      </c>
      <c r="L32" s="49">
        <f t="shared" ref="L32:L40" si="11">H32-E32</f>
        <v>8.9974692837720305E-2</v>
      </c>
    </row>
    <row r="33" spans="1:12" hidden="1">
      <c r="A33" s="37" t="s">
        <v>66</v>
      </c>
      <c r="B33" s="37" t="s">
        <v>67</v>
      </c>
      <c r="C33" s="43">
        <v>639</v>
      </c>
      <c r="D33" s="44">
        <v>505</v>
      </c>
      <c r="E33" s="45">
        <f t="shared" si="8"/>
        <v>-0.20970266040688579</v>
      </c>
      <c r="F33" s="46">
        <v>20012750</v>
      </c>
      <c r="G33" s="47">
        <v>20152450</v>
      </c>
      <c r="H33" s="45">
        <f t="shared" si="9"/>
        <v>6.9805498994390813E-3</v>
      </c>
      <c r="I33" s="43">
        <v>29.11</v>
      </c>
      <c r="J33" s="44">
        <v>33.86</v>
      </c>
      <c r="K33" s="48">
        <f t="shared" si="10"/>
        <v>4.75</v>
      </c>
      <c r="L33" s="49">
        <f t="shared" si="11"/>
        <v>0.21668321030632487</v>
      </c>
    </row>
    <row r="34" spans="1:12" hidden="1">
      <c r="A34" s="37" t="s">
        <v>68</v>
      </c>
      <c r="B34" s="37" t="s">
        <v>69</v>
      </c>
      <c r="C34" s="43">
        <v>835</v>
      </c>
      <c r="D34" s="44">
        <v>359</v>
      </c>
      <c r="E34" s="45">
        <f t="shared" si="8"/>
        <v>-0.57005988023952092</v>
      </c>
      <c r="F34" s="46">
        <v>18897510</v>
      </c>
      <c r="G34" s="47">
        <v>14523850</v>
      </c>
      <c r="H34" s="45">
        <f t="shared" si="9"/>
        <v>-0.23144107345359255</v>
      </c>
      <c r="I34" s="43">
        <v>21.8</v>
      </c>
      <c r="J34" s="44">
        <v>37.049999999999997</v>
      </c>
      <c r="K34" s="48">
        <f t="shared" si="10"/>
        <v>15.249999999999996</v>
      </c>
      <c r="L34" s="49">
        <f t="shared" si="11"/>
        <v>0.33861880678592837</v>
      </c>
    </row>
    <row r="35" spans="1:12" hidden="1">
      <c r="A35" s="37" t="s">
        <v>70</v>
      </c>
      <c r="B35" s="37" t="s">
        <v>71</v>
      </c>
      <c r="C35" s="43">
        <v>824</v>
      </c>
      <c r="D35" s="44">
        <v>566</v>
      </c>
      <c r="E35" s="45">
        <f t="shared" si="8"/>
        <v>-0.31310679611650483</v>
      </c>
      <c r="F35" s="46">
        <v>16728760</v>
      </c>
      <c r="G35" s="47">
        <v>14263420</v>
      </c>
      <c r="H35" s="45">
        <f t="shared" si="9"/>
        <v>-0.14737135328619699</v>
      </c>
      <c r="I35" s="43">
        <v>14.08</v>
      </c>
      <c r="J35" s="44">
        <v>18.2</v>
      </c>
      <c r="K35" s="48">
        <f t="shared" si="10"/>
        <v>4.1199999999999992</v>
      </c>
      <c r="L35" s="49">
        <f t="shared" si="11"/>
        <v>0.16573544283030783</v>
      </c>
    </row>
    <row r="36" spans="1:12" hidden="1">
      <c r="A36" s="37" t="s">
        <v>72</v>
      </c>
      <c r="B36" s="37" t="s">
        <v>73</v>
      </c>
      <c r="C36" s="43">
        <v>933</v>
      </c>
      <c r="D36" s="44">
        <v>680</v>
      </c>
      <c r="E36" s="45">
        <f t="shared" si="8"/>
        <v>-0.2711682743837085</v>
      </c>
      <c r="F36" s="46">
        <v>23232640</v>
      </c>
      <c r="G36" s="47">
        <v>16617750</v>
      </c>
      <c r="H36" s="45">
        <f t="shared" si="9"/>
        <v>-0.28472399176331231</v>
      </c>
      <c r="I36" s="43">
        <v>16.93</v>
      </c>
      <c r="J36" s="44">
        <v>22.35</v>
      </c>
      <c r="K36" s="48">
        <f t="shared" si="10"/>
        <v>5.4200000000000017</v>
      </c>
      <c r="L36" s="49">
        <f t="shared" si="11"/>
        <v>-1.3555717379603816E-2</v>
      </c>
    </row>
    <row r="37" spans="1:12" hidden="1">
      <c r="A37" s="50" t="s">
        <v>74</v>
      </c>
      <c r="B37" s="50" t="s">
        <v>75</v>
      </c>
      <c r="C37" s="51">
        <v>930</v>
      </c>
      <c r="D37" s="52">
        <v>576</v>
      </c>
      <c r="E37" s="53">
        <f t="shared" si="8"/>
        <v>-0.38064516129032255</v>
      </c>
      <c r="F37" s="54">
        <v>14000690</v>
      </c>
      <c r="G37" s="55">
        <v>12173750</v>
      </c>
      <c r="H37" s="53">
        <f t="shared" si="9"/>
        <v>-0.13048928302819363</v>
      </c>
      <c r="I37" s="51">
        <v>17.96</v>
      </c>
      <c r="J37" s="52">
        <v>17.36</v>
      </c>
      <c r="K37" s="56">
        <f t="shared" si="10"/>
        <v>-0.60000000000000142</v>
      </c>
      <c r="L37" s="57">
        <f t="shared" si="11"/>
        <v>0.25015587826212893</v>
      </c>
    </row>
    <row r="38" spans="1:12" hidden="1">
      <c r="A38" s="37" t="s">
        <v>76</v>
      </c>
      <c r="B38" s="37" t="s">
        <v>77</v>
      </c>
      <c r="C38" s="43">
        <v>747</v>
      </c>
      <c r="D38" s="44">
        <v>529</v>
      </c>
      <c r="E38" s="45">
        <f t="shared" si="8"/>
        <v>-0.29183400267737614</v>
      </c>
      <c r="F38" s="46">
        <v>21649980</v>
      </c>
      <c r="G38" s="47">
        <v>18003000</v>
      </c>
      <c r="H38" s="45">
        <f t="shared" si="9"/>
        <v>-0.16845188771536967</v>
      </c>
      <c r="I38" s="43">
        <v>19.54</v>
      </c>
      <c r="J38" s="44">
        <v>26.84</v>
      </c>
      <c r="K38" s="48">
        <f t="shared" si="10"/>
        <v>7.3000000000000007</v>
      </c>
      <c r="L38" s="49">
        <f t="shared" si="11"/>
        <v>0.12338211496200646</v>
      </c>
    </row>
    <row r="39" spans="1:12" ht="12.5" hidden="1" thickBot="1">
      <c r="A39" s="50" t="s">
        <v>78</v>
      </c>
      <c r="B39" s="50" t="s">
        <v>79</v>
      </c>
      <c r="C39" s="51">
        <v>1663</v>
      </c>
      <c r="D39" s="52">
        <v>971</v>
      </c>
      <c r="E39" s="53">
        <f t="shared" si="8"/>
        <v>-0.41611545399879735</v>
      </c>
      <c r="F39" s="54">
        <v>24677510</v>
      </c>
      <c r="G39" s="55">
        <v>23101750</v>
      </c>
      <c r="H39" s="53">
        <f t="shared" si="9"/>
        <v>-6.3854092248367023E-2</v>
      </c>
      <c r="I39" s="51">
        <v>15.57</v>
      </c>
      <c r="J39" s="52">
        <v>17.71</v>
      </c>
      <c r="K39" s="56">
        <f t="shared" si="10"/>
        <v>2.1400000000000006</v>
      </c>
      <c r="L39" s="57">
        <f t="shared" si="11"/>
        <v>0.35226136175043032</v>
      </c>
    </row>
    <row r="40" spans="1:12" ht="12.5" hidden="1" thickBot="1">
      <c r="A40" s="37"/>
      <c r="B40" s="37"/>
      <c r="C40" s="58">
        <f>SUM(C32:C39)</f>
        <v>8283</v>
      </c>
      <c r="D40" s="59">
        <f>SUM(D32:D39)</f>
        <v>5718</v>
      </c>
      <c r="E40" s="60">
        <f t="shared" si="8"/>
        <v>-0.30967040927200284</v>
      </c>
      <c r="F40" s="61">
        <f>SUM(F32:F39)</f>
        <v>180463250</v>
      </c>
      <c r="G40" s="61">
        <f>SUM(G32:G39)</f>
        <v>159473600</v>
      </c>
      <c r="H40" s="62">
        <f t="shared" si="9"/>
        <v>-0.11630983039483112</v>
      </c>
      <c r="I40" s="63">
        <f>AVERAGE(I32:I39)</f>
        <v>19.37125</v>
      </c>
      <c r="J40" s="64">
        <f>AVERAGE(J32:J39)</f>
        <v>23.996250000000003</v>
      </c>
      <c r="K40" s="64">
        <f t="shared" si="10"/>
        <v>4.6250000000000036</v>
      </c>
      <c r="L40" s="65">
        <f t="shared" si="11"/>
        <v>0.19336057887717173</v>
      </c>
    </row>
    <row r="41" spans="1:12" hidden="1"/>
    <row r="42" spans="1:12" ht="12.5" hidden="1" thickBot="1"/>
    <row r="43" spans="1:12" ht="16" thickBot="1">
      <c r="A43" s="37"/>
      <c r="B43" s="509" t="s">
        <v>134</v>
      </c>
      <c r="C43" s="510"/>
      <c r="D43" s="510"/>
      <c r="E43" s="510"/>
      <c r="F43" s="510"/>
      <c r="G43" s="510"/>
      <c r="H43" s="510"/>
      <c r="I43" s="510"/>
      <c r="J43" s="510"/>
      <c r="K43" s="510"/>
      <c r="L43" s="511"/>
    </row>
    <row r="44" spans="1:12" ht="12" customHeight="1" thickBot="1">
      <c r="A44" s="39"/>
      <c r="B44" s="39"/>
      <c r="C44" s="502" t="s">
        <v>57</v>
      </c>
      <c r="D44" s="503"/>
      <c r="E44" s="506"/>
      <c r="F44" s="502" t="s">
        <v>58</v>
      </c>
      <c r="G44" s="503"/>
      <c r="H44" s="504"/>
      <c r="I44" s="505" t="s">
        <v>59</v>
      </c>
      <c r="J44" s="503"/>
      <c r="K44" s="504"/>
      <c r="L44" s="507" t="s">
        <v>60</v>
      </c>
    </row>
    <row r="45" spans="1:12" ht="12.5" thickBot="1">
      <c r="A45" s="40" t="s">
        <v>61</v>
      </c>
      <c r="B45" s="40" t="s">
        <v>62</v>
      </c>
      <c r="C45" s="68">
        <v>2024</v>
      </c>
      <c r="D45" s="69">
        <v>2025</v>
      </c>
      <c r="E45" s="70" t="s">
        <v>63</v>
      </c>
      <c r="F45" s="69">
        <v>2024</v>
      </c>
      <c r="G45" s="69">
        <v>2025</v>
      </c>
      <c r="H45" s="71" t="s">
        <v>63</v>
      </c>
      <c r="I45" s="70">
        <v>2024</v>
      </c>
      <c r="J45" s="69">
        <v>2025</v>
      </c>
      <c r="K45" s="70" t="s">
        <v>63</v>
      </c>
      <c r="L45" s="508"/>
    </row>
    <row r="46" spans="1:12">
      <c r="A46" s="37" t="s">
        <v>64</v>
      </c>
      <c r="B46" s="37" t="s">
        <v>65</v>
      </c>
      <c r="C46" s="214"/>
      <c r="D46" s="215"/>
      <c r="E46" s="45" t="e">
        <f t="shared" ref="E46:E54" si="12">D46/C46-1</f>
        <v>#DIV/0!</v>
      </c>
      <c r="F46" s="73"/>
      <c r="G46" s="73"/>
      <c r="H46" s="74" t="e">
        <f t="shared" ref="H46:H53" si="13">G46/F46-1</f>
        <v>#DIV/0!</v>
      </c>
      <c r="I46" s="44"/>
      <c r="J46" s="72"/>
      <c r="K46" s="44">
        <f t="shared" ref="K46:K53" si="14">J46-I46</f>
        <v>0</v>
      </c>
      <c r="L46" s="49" t="e">
        <f>H46-E46</f>
        <v>#DIV/0!</v>
      </c>
    </row>
    <row r="47" spans="1:12">
      <c r="A47" s="37" t="s">
        <v>66</v>
      </c>
      <c r="B47" s="37" t="s">
        <v>67</v>
      </c>
      <c r="C47" s="214"/>
      <c r="D47" s="215"/>
      <c r="E47" s="45" t="e">
        <f t="shared" si="12"/>
        <v>#DIV/0!</v>
      </c>
      <c r="F47" s="73"/>
      <c r="G47" s="73"/>
      <c r="H47" s="74" t="e">
        <f t="shared" si="13"/>
        <v>#DIV/0!</v>
      </c>
      <c r="I47" s="44"/>
      <c r="J47" s="72"/>
      <c r="K47" s="44">
        <f t="shared" si="14"/>
        <v>0</v>
      </c>
      <c r="L47" s="49" t="e">
        <f t="shared" ref="L47:L54" si="15">H47-E47</f>
        <v>#DIV/0!</v>
      </c>
    </row>
    <row r="48" spans="1:12">
      <c r="A48" s="37" t="s">
        <v>68</v>
      </c>
      <c r="B48" s="37" t="s">
        <v>69</v>
      </c>
      <c r="C48" s="214"/>
      <c r="D48" s="215"/>
      <c r="E48" s="45" t="e">
        <f t="shared" si="12"/>
        <v>#DIV/0!</v>
      </c>
      <c r="F48" s="73"/>
      <c r="G48" s="73"/>
      <c r="H48" s="74" t="e">
        <f t="shared" si="13"/>
        <v>#DIV/0!</v>
      </c>
      <c r="I48" s="44"/>
      <c r="J48" s="72"/>
      <c r="K48" s="44">
        <f t="shared" si="14"/>
        <v>0</v>
      </c>
      <c r="L48" s="49" t="e">
        <f t="shared" si="15"/>
        <v>#DIV/0!</v>
      </c>
    </row>
    <row r="49" spans="1:12">
      <c r="A49" s="37" t="s">
        <v>70</v>
      </c>
      <c r="B49" s="37" t="s">
        <v>71</v>
      </c>
      <c r="C49" s="214"/>
      <c r="D49" s="215"/>
      <c r="E49" s="45" t="e">
        <f t="shared" si="12"/>
        <v>#DIV/0!</v>
      </c>
      <c r="F49" s="73"/>
      <c r="G49" s="73"/>
      <c r="H49" s="74" t="e">
        <f t="shared" si="13"/>
        <v>#DIV/0!</v>
      </c>
      <c r="I49" s="44"/>
      <c r="J49" s="72"/>
      <c r="K49" s="44">
        <f t="shared" si="14"/>
        <v>0</v>
      </c>
      <c r="L49" s="49" t="e">
        <f t="shared" si="15"/>
        <v>#DIV/0!</v>
      </c>
    </row>
    <row r="50" spans="1:12">
      <c r="A50" s="37" t="s">
        <v>72</v>
      </c>
      <c r="B50" s="37" t="s">
        <v>73</v>
      </c>
      <c r="C50" s="214"/>
      <c r="D50" s="215"/>
      <c r="E50" s="45" t="e">
        <f t="shared" si="12"/>
        <v>#DIV/0!</v>
      </c>
      <c r="F50" s="73"/>
      <c r="G50" s="73"/>
      <c r="H50" s="74" t="e">
        <f t="shared" si="13"/>
        <v>#DIV/0!</v>
      </c>
      <c r="I50" s="44"/>
      <c r="J50" s="72"/>
      <c r="K50" s="44">
        <f t="shared" si="14"/>
        <v>0</v>
      </c>
      <c r="L50" s="49" t="e">
        <f t="shared" si="15"/>
        <v>#DIV/0!</v>
      </c>
    </row>
    <row r="51" spans="1:12">
      <c r="A51" s="50" t="s">
        <v>74</v>
      </c>
      <c r="B51" s="50" t="s">
        <v>75</v>
      </c>
      <c r="C51" s="216"/>
      <c r="D51" s="217"/>
      <c r="E51" s="77" t="e">
        <f t="shared" si="12"/>
        <v>#DIV/0!</v>
      </c>
      <c r="F51" s="218"/>
      <c r="G51" s="218"/>
      <c r="H51" s="78" t="e">
        <f t="shared" si="13"/>
        <v>#DIV/0!</v>
      </c>
      <c r="I51" s="52"/>
      <c r="J51" s="79"/>
      <c r="K51" s="52">
        <f t="shared" si="14"/>
        <v>0</v>
      </c>
      <c r="L51" s="57" t="e">
        <f t="shared" si="15"/>
        <v>#DIV/0!</v>
      </c>
    </row>
    <row r="52" spans="1:12">
      <c r="A52" s="37" t="s">
        <v>76</v>
      </c>
      <c r="B52" s="37" t="s">
        <v>77</v>
      </c>
      <c r="C52" s="214"/>
      <c r="D52" s="215"/>
      <c r="E52" s="45" t="e">
        <f t="shared" si="12"/>
        <v>#DIV/0!</v>
      </c>
      <c r="F52" s="73"/>
      <c r="G52" s="73"/>
      <c r="H52" s="74" t="e">
        <f t="shared" si="13"/>
        <v>#DIV/0!</v>
      </c>
      <c r="I52" s="44"/>
      <c r="J52" s="72"/>
      <c r="K52" s="44">
        <f t="shared" si="14"/>
        <v>0</v>
      </c>
      <c r="L52" s="49" t="e">
        <f t="shared" si="15"/>
        <v>#DIV/0!</v>
      </c>
    </row>
    <row r="53" spans="1:12" ht="12.5" thickBot="1">
      <c r="A53" s="50" t="s">
        <v>78</v>
      </c>
      <c r="B53" s="50" t="s">
        <v>79</v>
      </c>
      <c r="C53" s="216"/>
      <c r="D53" s="217"/>
      <c r="E53" s="77" t="e">
        <f t="shared" si="12"/>
        <v>#DIV/0!</v>
      </c>
      <c r="F53" s="218"/>
      <c r="G53" s="218"/>
      <c r="H53" s="78" t="e">
        <f t="shared" si="13"/>
        <v>#DIV/0!</v>
      </c>
      <c r="I53" s="52"/>
      <c r="J53" s="79"/>
      <c r="K53" s="52">
        <f t="shared" si="14"/>
        <v>0</v>
      </c>
      <c r="L53" s="57" t="e">
        <f t="shared" si="15"/>
        <v>#DIV/0!</v>
      </c>
    </row>
    <row r="54" spans="1:12" ht="12.5" thickBot="1">
      <c r="A54" s="37"/>
      <c r="B54" s="37"/>
      <c r="C54" s="461">
        <f>SUM(C46:C53)</f>
        <v>0</v>
      </c>
      <c r="D54" s="461">
        <f>SUM(D46:D53)</f>
        <v>0</v>
      </c>
      <c r="E54" s="462" t="e">
        <f t="shared" si="12"/>
        <v>#DIV/0!</v>
      </c>
      <c r="F54" s="463">
        <f>SUM(F46:F53)</f>
        <v>0</v>
      </c>
      <c r="G54" s="463">
        <f>SUM(G46:G53)</f>
        <v>0</v>
      </c>
      <c r="H54" s="464" t="e">
        <f>G54/F54-1</f>
        <v>#DIV/0!</v>
      </c>
      <c r="I54" s="466" t="e">
        <f>AVERAGE(I46:I53)</f>
        <v>#DIV/0!</v>
      </c>
      <c r="J54" s="466" t="e">
        <f>AVERAGE(J46:J53)</f>
        <v>#DIV/0!</v>
      </c>
      <c r="K54" s="465" t="e">
        <f>J54-I54</f>
        <v>#DIV/0!</v>
      </c>
      <c r="L54" s="467" t="e">
        <f t="shared" si="15"/>
        <v>#DIV/0!</v>
      </c>
    </row>
    <row r="55" spans="1:12" ht="12.5" thickBot="1"/>
    <row r="56" spans="1:12" ht="16" thickBot="1">
      <c r="A56" s="37"/>
      <c r="B56" s="509" t="s">
        <v>133</v>
      </c>
      <c r="C56" s="510"/>
      <c r="D56" s="510"/>
      <c r="E56" s="510"/>
      <c r="F56" s="510"/>
      <c r="G56" s="510"/>
      <c r="H56" s="510"/>
      <c r="I56" s="510"/>
      <c r="J56" s="510"/>
      <c r="K56" s="510"/>
      <c r="L56" s="511"/>
    </row>
    <row r="57" spans="1:12" ht="12.5" thickBot="1">
      <c r="A57" s="39"/>
      <c r="B57" s="39"/>
      <c r="C57" s="502" t="s">
        <v>57</v>
      </c>
      <c r="D57" s="503"/>
      <c r="E57" s="504"/>
      <c r="F57" s="505" t="s">
        <v>58</v>
      </c>
      <c r="G57" s="503"/>
      <c r="H57" s="506"/>
      <c r="I57" s="502" t="s">
        <v>59</v>
      </c>
      <c r="J57" s="503"/>
      <c r="K57" s="506"/>
      <c r="L57" s="507" t="s">
        <v>60</v>
      </c>
    </row>
    <row r="58" spans="1:12" ht="12.5" thickBot="1">
      <c r="A58" s="40" t="s">
        <v>61</v>
      </c>
      <c r="B58" s="40" t="s">
        <v>62</v>
      </c>
      <c r="C58" s="68">
        <v>2024</v>
      </c>
      <c r="D58" s="69">
        <v>2025</v>
      </c>
      <c r="E58" s="70" t="s">
        <v>63</v>
      </c>
      <c r="F58" s="69">
        <v>2024</v>
      </c>
      <c r="G58" s="69">
        <v>2025</v>
      </c>
      <c r="H58" s="71" t="s">
        <v>63</v>
      </c>
      <c r="I58" s="70">
        <v>2024</v>
      </c>
      <c r="J58" s="69">
        <v>2025</v>
      </c>
      <c r="K58" s="70" t="s">
        <v>63</v>
      </c>
      <c r="L58" s="508"/>
    </row>
    <row r="59" spans="1:12">
      <c r="A59" s="37" t="s">
        <v>64</v>
      </c>
      <c r="B59" s="37" t="s">
        <v>65</v>
      </c>
      <c r="C59" s="214"/>
      <c r="D59" s="215">
        <f>D46</f>
        <v>0</v>
      </c>
      <c r="E59" s="74" t="e">
        <f t="shared" ref="E59:E67" si="16">D59/C59-1</f>
        <v>#DIV/0!</v>
      </c>
      <c r="F59" s="46"/>
      <c r="G59" s="80">
        <f>G46</f>
        <v>0</v>
      </c>
      <c r="H59" s="45" t="e">
        <f t="shared" ref="H59:H67" si="17">G59/F59-1</f>
        <v>#DIV/0!</v>
      </c>
      <c r="I59" s="43"/>
      <c r="J59" s="72">
        <f>J46</f>
        <v>0</v>
      </c>
      <c r="K59" s="48">
        <f t="shared" ref="K59:K67" si="18">J59-I59</f>
        <v>0</v>
      </c>
      <c r="L59" s="74" t="e">
        <f t="shared" ref="L59:L67" si="19">H59-E59</f>
        <v>#DIV/0!</v>
      </c>
    </row>
    <row r="60" spans="1:12">
      <c r="A60" s="37" t="s">
        <v>66</v>
      </c>
      <c r="B60" s="37" t="s">
        <v>67</v>
      </c>
      <c r="C60" s="214"/>
      <c r="D60" s="215">
        <f t="shared" ref="D60:D66" si="20">D47</f>
        <v>0</v>
      </c>
      <c r="E60" s="74" t="e">
        <f t="shared" si="16"/>
        <v>#DIV/0!</v>
      </c>
      <c r="F60" s="46"/>
      <c r="G60" s="80">
        <f t="shared" ref="G60:G66" si="21">G47</f>
        <v>0</v>
      </c>
      <c r="H60" s="45" t="e">
        <f t="shared" si="17"/>
        <v>#DIV/0!</v>
      </c>
      <c r="I60" s="43"/>
      <c r="J60" s="72">
        <f t="shared" ref="J60:J66" si="22">J47</f>
        <v>0</v>
      </c>
      <c r="K60" s="48">
        <f t="shared" si="18"/>
        <v>0</v>
      </c>
      <c r="L60" s="74" t="e">
        <f t="shared" si="19"/>
        <v>#DIV/0!</v>
      </c>
    </row>
    <row r="61" spans="1:12">
      <c r="A61" s="37" t="s">
        <v>68</v>
      </c>
      <c r="B61" s="37" t="s">
        <v>69</v>
      </c>
      <c r="C61" s="214"/>
      <c r="D61" s="215">
        <f t="shared" si="20"/>
        <v>0</v>
      </c>
      <c r="E61" s="74" t="e">
        <f t="shared" si="16"/>
        <v>#DIV/0!</v>
      </c>
      <c r="F61" s="46"/>
      <c r="G61" s="80">
        <f t="shared" si="21"/>
        <v>0</v>
      </c>
      <c r="H61" s="45" t="e">
        <f t="shared" si="17"/>
        <v>#DIV/0!</v>
      </c>
      <c r="I61" s="43"/>
      <c r="J61" s="72">
        <f t="shared" si="22"/>
        <v>0</v>
      </c>
      <c r="K61" s="48">
        <f t="shared" si="18"/>
        <v>0</v>
      </c>
      <c r="L61" s="74" t="e">
        <f t="shared" si="19"/>
        <v>#DIV/0!</v>
      </c>
    </row>
    <row r="62" spans="1:12">
      <c r="A62" s="37" t="s">
        <v>70</v>
      </c>
      <c r="B62" s="37" t="s">
        <v>71</v>
      </c>
      <c r="C62" s="214"/>
      <c r="D62" s="215">
        <f t="shared" si="20"/>
        <v>0</v>
      </c>
      <c r="E62" s="74" t="e">
        <f t="shared" si="16"/>
        <v>#DIV/0!</v>
      </c>
      <c r="F62" s="46"/>
      <c r="G62" s="80">
        <f t="shared" si="21"/>
        <v>0</v>
      </c>
      <c r="H62" s="45" t="e">
        <f t="shared" si="17"/>
        <v>#DIV/0!</v>
      </c>
      <c r="I62" s="43"/>
      <c r="J62" s="72">
        <f t="shared" si="22"/>
        <v>0</v>
      </c>
      <c r="K62" s="48">
        <f t="shared" si="18"/>
        <v>0</v>
      </c>
      <c r="L62" s="74" t="e">
        <f t="shared" si="19"/>
        <v>#DIV/0!</v>
      </c>
    </row>
    <row r="63" spans="1:12">
      <c r="A63" s="37" t="s">
        <v>72</v>
      </c>
      <c r="B63" s="37" t="s">
        <v>73</v>
      </c>
      <c r="C63" s="214"/>
      <c r="D63" s="215">
        <f t="shared" si="20"/>
        <v>0</v>
      </c>
      <c r="E63" s="74" t="e">
        <f t="shared" si="16"/>
        <v>#DIV/0!</v>
      </c>
      <c r="F63" s="46"/>
      <c r="G63" s="80">
        <f t="shared" si="21"/>
        <v>0</v>
      </c>
      <c r="H63" s="45" t="e">
        <f t="shared" si="17"/>
        <v>#DIV/0!</v>
      </c>
      <c r="I63" s="43"/>
      <c r="J63" s="72">
        <f t="shared" si="22"/>
        <v>0</v>
      </c>
      <c r="K63" s="48">
        <f t="shared" si="18"/>
        <v>0</v>
      </c>
      <c r="L63" s="74" t="e">
        <f t="shared" si="19"/>
        <v>#DIV/0!</v>
      </c>
    </row>
    <row r="64" spans="1:12">
      <c r="A64" s="50" t="s">
        <v>74</v>
      </c>
      <c r="B64" s="81" t="s">
        <v>75</v>
      </c>
      <c r="C64" s="216"/>
      <c r="D64" s="217">
        <f t="shared" si="20"/>
        <v>0</v>
      </c>
      <c r="E64" s="82" t="e">
        <f t="shared" si="16"/>
        <v>#DIV/0!</v>
      </c>
      <c r="F64" s="83"/>
      <c r="G64" s="84">
        <f t="shared" si="21"/>
        <v>0</v>
      </c>
      <c r="H64" s="77" t="e">
        <f t="shared" si="17"/>
        <v>#DIV/0!</v>
      </c>
      <c r="I64" s="75"/>
      <c r="J64" s="76">
        <f t="shared" si="22"/>
        <v>0</v>
      </c>
      <c r="K64" s="85">
        <f t="shared" si="18"/>
        <v>0</v>
      </c>
      <c r="L64" s="82" t="e">
        <f t="shared" si="19"/>
        <v>#DIV/0!</v>
      </c>
    </row>
    <row r="65" spans="1:12">
      <c r="A65" s="37" t="s">
        <v>76</v>
      </c>
      <c r="B65" s="37" t="s">
        <v>77</v>
      </c>
      <c r="C65" s="214"/>
      <c r="D65" s="215">
        <f t="shared" si="20"/>
        <v>0</v>
      </c>
      <c r="E65" s="74" t="e">
        <f t="shared" si="16"/>
        <v>#DIV/0!</v>
      </c>
      <c r="F65" s="46"/>
      <c r="G65" s="80">
        <f t="shared" si="21"/>
        <v>0</v>
      </c>
      <c r="H65" s="45" t="e">
        <f t="shared" si="17"/>
        <v>#DIV/0!</v>
      </c>
      <c r="I65" s="43"/>
      <c r="J65" s="72">
        <f t="shared" si="22"/>
        <v>0</v>
      </c>
      <c r="K65" s="48">
        <f t="shared" si="18"/>
        <v>0</v>
      </c>
      <c r="L65" s="74" t="e">
        <f t="shared" si="19"/>
        <v>#DIV/0!</v>
      </c>
    </row>
    <row r="66" spans="1:12" ht="12.5" thickBot="1">
      <c r="A66" s="50" t="s">
        <v>78</v>
      </c>
      <c r="B66" s="81" t="s">
        <v>79</v>
      </c>
      <c r="C66" s="216"/>
      <c r="D66" s="217">
        <f t="shared" si="20"/>
        <v>0</v>
      </c>
      <c r="E66" s="82" t="e">
        <f t="shared" si="16"/>
        <v>#DIV/0!</v>
      </c>
      <c r="F66" s="83"/>
      <c r="G66" s="84">
        <f t="shared" si="21"/>
        <v>0</v>
      </c>
      <c r="H66" s="77" t="e">
        <f t="shared" si="17"/>
        <v>#DIV/0!</v>
      </c>
      <c r="I66" s="75"/>
      <c r="J66" s="76">
        <f t="shared" si="22"/>
        <v>0</v>
      </c>
      <c r="K66" s="85">
        <f t="shared" si="18"/>
        <v>0</v>
      </c>
      <c r="L66" s="82" t="e">
        <f t="shared" si="19"/>
        <v>#DIV/0!</v>
      </c>
    </row>
    <row r="67" spans="1:12" ht="12.5" thickBot="1">
      <c r="A67" s="37"/>
      <c r="B67" s="37"/>
      <c r="C67" s="461">
        <f>SUM(C59:C66)</f>
        <v>0</v>
      </c>
      <c r="D67" s="461">
        <f>SUM(D59:D66)</f>
        <v>0</v>
      </c>
      <c r="E67" s="464" t="e">
        <f t="shared" si="16"/>
        <v>#DIV/0!</v>
      </c>
      <c r="F67" s="468">
        <f>SUM(F59:F66)</f>
        <v>0</v>
      </c>
      <c r="G67" s="463">
        <f>SUM(G59:G66)</f>
        <v>0</v>
      </c>
      <c r="H67" s="462" t="e">
        <f t="shared" si="17"/>
        <v>#DIV/0!</v>
      </c>
      <c r="I67" s="469" t="e">
        <f>AVERAGE(I59:I66)</f>
        <v>#DIV/0!</v>
      </c>
      <c r="J67" s="466">
        <f>AVERAGE(J59:J66)</f>
        <v>0</v>
      </c>
      <c r="K67" s="470" t="e">
        <f t="shared" si="18"/>
        <v>#DIV/0!</v>
      </c>
      <c r="L67" s="464" t="e">
        <f t="shared" si="19"/>
        <v>#DIV/0!</v>
      </c>
    </row>
  </sheetData>
  <mergeCells count="25">
    <mergeCell ref="C57:E57"/>
    <mergeCell ref="F57:H57"/>
    <mergeCell ref="I57:K57"/>
    <mergeCell ref="L57:L58"/>
    <mergeCell ref="B43:L43"/>
    <mergeCell ref="C44:E44"/>
    <mergeCell ref="F44:H44"/>
    <mergeCell ref="I44:K44"/>
    <mergeCell ref="L44:L45"/>
    <mergeCell ref="B56:L56"/>
    <mergeCell ref="C30:E30"/>
    <mergeCell ref="F30:H30"/>
    <mergeCell ref="I30:K30"/>
    <mergeCell ref="L30:L31"/>
    <mergeCell ref="B1:L1"/>
    <mergeCell ref="C2:E2"/>
    <mergeCell ref="F2:H2"/>
    <mergeCell ref="I2:K2"/>
    <mergeCell ref="L2:L3"/>
    <mergeCell ref="B15:L15"/>
    <mergeCell ref="C16:E16"/>
    <mergeCell ref="F16:H16"/>
    <mergeCell ref="I16:K16"/>
    <mergeCell ref="L16:L17"/>
    <mergeCell ref="B29:L29"/>
  </mergeCells>
  <conditionalFormatting sqref="E4:E12">
    <cfRule type="cellIs" dxfId="14" priority="13" operator="lessThan">
      <formula>0</formula>
    </cfRule>
  </conditionalFormatting>
  <conditionalFormatting sqref="E18:E26">
    <cfRule type="cellIs" dxfId="13" priority="10" operator="lessThan">
      <formula>0</formula>
    </cfRule>
  </conditionalFormatting>
  <conditionalFormatting sqref="E32:E40">
    <cfRule type="cellIs" dxfId="12" priority="7" operator="lessThan">
      <formula>0</formula>
    </cfRule>
  </conditionalFormatting>
  <conditionalFormatting sqref="E46:E54">
    <cfRule type="cellIs" dxfId="11" priority="4" operator="lessThan">
      <formula>0</formula>
    </cfRule>
  </conditionalFormatting>
  <conditionalFormatting sqref="E59:E67">
    <cfRule type="cellIs" dxfId="10" priority="1" operator="lessThan">
      <formula>0</formula>
    </cfRule>
  </conditionalFormatting>
  <conditionalFormatting sqref="H4:H12">
    <cfRule type="cellIs" dxfId="9" priority="14" operator="lessThan">
      <formula>0</formula>
    </cfRule>
  </conditionalFormatting>
  <conditionalFormatting sqref="H18:H26">
    <cfRule type="cellIs" dxfId="8" priority="11" operator="lessThan">
      <formula>0</formula>
    </cfRule>
  </conditionalFormatting>
  <conditionalFormatting sqref="H32:H40">
    <cfRule type="cellIs" dxfId="7" priority="8" operator="lessThan">
      <formula>0</formula>
    </cfRule>
  </conditionalFormatting>
  <conditionalFormatting sqref="H46:H54">
    <cfRule type="cellIs" dxfId="6" priority="5" operator="lessThan">
      <formula>0</formula>
    </cfRule>
  </conditionalFormatting>
  <conditionalFormatting sqref="H59:H67">
    <cfRule type="cellIs" dxfId="5" priority="2" operator="lessThan">
      <formula>0</formula>
    </cfRule>
  </conditionalFormatting>
  <conditionalFormatting sqref="K4:L12">
    <cfRule type="cellIs" dxfId="4" priority="15" operator="lessThan">
      <formula>0</formula>
    </cfRule>
  </conditionalFormatting>
  <conditionalFormatting sqref="K18:L26">
    <cfRule type="cellIs" dxfId="3" priority="12" operator="lessThan">
      <formula>0</formula>
    </cfRule>
  </conditionalFormatting>
  <conditionalFormatting sqref="K32:L40">
    <cfRule type="cellIs" dxfId="2" priority="9" operator="lessThan">
      <formula>0</formula>
    </cfRule>
  </conditionalFormatting>
  <conditionalFormatting sqref="K46:L54">
    <cfRule type="cellIs" dxfId="1" priority="6" operator="lessThan">
      <formula>0</formula>
    </cfRule>
  </conditionalFormatting>
  <conditionalFormatting sqref="K59:L67">
    <cfRule type="cellIs" dxfId="0" priority="3" operator="lessThan">
      <formula>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Informe</vt:lpstr>
      <vt:lpstr>Ajustes</vt:lpstr>
      <vt:lpstr>tiendas</vt:lpstr>
      <vt:lpstr>meses</vt:lpstr>
      <vt:lpstr>COMPARATIVO VS 2024</vt:lpstr>
      <vt:lpstr>TRAFICO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Producto Frama</dc:creator>
  <cp:lastModifiedBy>Juan Grimaldos</cp:lastModifiedBy>
  <dcterms:created xsi:type="dcterms:W3CDTF">2024-08-20T04:09:34Z</dcterms:created>
  <dcterms:modified xsi:type="dcterms:W3CDTF">2026-01-26T16:53:35Z</dcterms:modified>
</cp:coreProperties>
</file>